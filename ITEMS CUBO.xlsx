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Materiales" sheetId="1" r:id="rId5"/>
    <sheet state="visible" name="🔨 Mano de Obra" sheetId="2" r:id="rId6"/>
    <sheet state="visible" name="LISTADO DE ITEMS" sheetId="3" r:id="rId7"/>
    <sheet state="visible" name="Rendimientos V03" sheetId="4" r:id="rId8"/>
    <sheet state="visible" name="RELACIONES" sheetId="5" r:id="rId9"/>
    <sheet state="visible" name="OPCIONES DE PISOS Y REVESTIMIEN" sheetId="6" r:id="rId10"/>
  </sheets>
  <definedNames/>
  <calcPr/>
</workbook>
</file>

<file path=xl/sharedStrings.xml><?xml version="1.0" encoding="utf-8"?>
<sst xmlns="http://schemas.openxmlformats.org/spreadsheetml/2006/main" count="8160" uniqueCount="2194">
  <si>
    <t>CUBO · Precios de Materiales — Sismat</t>
  </si>
  <si>
    <t>Fuente: Sismat · 2026-05-15</t>
  </si>
  <si>
    <t>ID Sismat</t>
  </si>
  <si>
    <t>Categoría</t>
  </si>
  <si>
    <t>Material</t>
  </si>
  <si>
    <t>Unidad</t>
  </si>
  <si>
    <t>Precio $</t>
  </si>
  <si>
    <t>Aditivos, Impermeabilizaciones y Aislaciones</t>
  </si>
  <si>
    <t>Aditivo Tacurú Weber. 01lt</t>
  </si>
  <si>
    <t>Aditivo Tacurú Weber. 04lt</t>
  </si>
  <si>
    <t>Aditivo Tacurú Weber. 10lt</t>
  </si>
  <si>
    <t>Aditivo Tacurú Weber. 20lt</t>
  </si>
  <si>
    <t>Aditivos p/H° acelerante de frague Sika 3 (Sin Cloruro)</t>
  </si>
  <si>
    <t>Litro</t>
  </si>
  <si>
    <t>Aditivos p/H° adhesivo y plastificante Sika Latex</t>
  </si>
  <si>
    <t>Aditivos p/H° endurecedor rápido plastificante, Sikacrete</t>
  </si>
  <si>
    <t>Aditivos p/H° Separol Sika, p/ desmolde madera</t>
  </si>
  <si>
    <t>Aditivos p/H° Separol Sika, p/ desmolde metal</t>
  </si>
  <si>
    <t>Aditivos p/H° Sika Antisol normaliz. p/curado de H°</t>
  </si>
  <si>
    <t>Kilogramo</t>
  </si>
  <si>
    <t>Aditivos p/hormigones Sikacim ligante (ex Sika Fix)</t>
  </si>
  <si>
    <t>Aislante Hidrofugo Wichi</t>
  </si>
  <si>
    <t>Metro cuadrado</t>
  </si>
  <si>
    <t>Aislante lana de vidrio Isofox con papel en una cara, esp. 50mm. (Rollo de 21,6m2)</t>
  </si>
  <si>
    <t>Aislante Lana de vidrio Isover c/ aluminio reforzado, esp. 50mm. (Rollo de 19,2m2)</t>
  </si>
  <si>
    <t>Aislante Lana de Vidrio Isover Rolac Plata Muro, esp 70 mm.</t>
  </si>
  <si>
    <t>Aislante lana de vidrio Isover Rolac Plata, esp. 38mm (Rollo 21,6mts)</t>
  </si>
  <si>
    <t>Aislante lana de vidrio Isover, espesor 50mm. ( Rollo de 21,6m2)</t>
  </si>
  <si>
    <t>Aislante térmico aluminizado Isolant, espesor 10mm (hidrófugo para techos)</t>
  </si>
  <si>
    <t xml:space="preserve">Aislante térmico telgopor 1m x 1m x 2cm </t>
  </si>
  <si>
    <t>Base p/microcemento x 25kg Recuplast</t>
  </si>
  <si>
    <t>Emulsión Asfáltica Megaflex 18 lts (Imprimante para membrana asfáltica al agua)</t>
  </si>
  <si>
    <t>Fieltro Asfaltico Reforzado Ruber Sec (20 mts)</t>
  </si>
  <si>
    <t>Fieltro Asfaltico Reforzado Ruber Sec (40mts)</t>
  </si>
  <si>
    <t>Fieltro de Vidrio Velo 30gr</t>
  </si>
  <si>
    <t>Hidrófugo en pasta Cerecita Weber. 04kg</t>
  </si>
  <si>
    <t>Hidrófugo en pasta Cerecita Weber. 10Kg</t>
  </si>
  <si>
    <t>Hidrófugo en pasta Cerecita Weber. 20kg</t>
  </si>
  <si>
    <t>Hidrófugo Sika, caja x 20kg</t>
  </si>
  <si>
    <t>Hidrolaca Protectora Acrílico Recufloor Sinteplast. 5lts</t>
  </si>
  <si>
    <t>Impermeabilizante para ladrillo visto Brikol. 1lts</t>
  </si>
  <si>
    <t>Impermeabilizante siliconado incoloro Brikol. 4lts</t>
  </si>
  <si>
    <t>Imprimación p/microcemento Recuplast Sinteplast. 5lts</t>
  </si>
  <si>
    <t>Inertol Infiltración Humedad Cimiento Sika (incoloro). 20L</t>
  </si>
  <si>
    <t>Junta de dilatacion, Masilla para junta base con poliuretano Sikaflex 1-A, 300 cm3</t>
  </si>
  <si>
    <t>junta de dilatación, Sellador Plavicon fibrado</t>
  </si>
  <si>
    <t>junta de dilatación, Selladores acrílicos multiusos Sikacryl x 300 gr.</t>
  </si>
  <si>
    <t>Kit completo Recuplast Sinteplast (microcemento)</t>
  </si>
  <si>
    <t>Manta bajo piso flotante Isolant, esp. 2mm</t>
  </si>
  <si>
    <t>Manta c/film piso flotante Isolant, esp. 2mm. 20m2</t>
  </si>
  <si>
    <t>Manta elástica geotextil p/membrana liquida 25m2</t>
  </si>
  <si>
    <t>Membrana Aislante bajo teja/chapa Isolant, esp. 5mm. 25m2</t>
  </si>
  <si>
    <t>Membrana Asfáltica c/aluminio Megaflex esp. 4mm</t>
  </si>
  <si>
    <t>Membrana Asfáltica c/aluminio Megaflex esp. 4mm. 10m2</t>
  </si>
  <si>
    <t>Naylon Negro. 200 micrones</t>
  </si>
  <si>
    <t>Pintura asfáltica aluminizada Megaflex, 4L</t>
  </si>
  <si>
    <t>Pintura asfáltica Megaflex, base solvente, 01L</t>
  </si>
  <si>
    <t>Pintura asfáltica Megaflex, base solvente, 18L</t>
  </si>
  <si>
    <t>Plavicon fibrado Impermeabilizante blanco. 20kg</t>
  </si>
  <si>
    <t>Rollo Fieltro Asfaltico Ruberoid. 40m2</t>
  </si>
  <si>
    <t>Sellador Junta Poliuretano Pu40 gris Unipega 280ml</t>
  </si>
  <si>
    <t>Sika rod 5/8 x Metro Fondo junta preformado x 10mts</t>
  </si>
  <si>
    <t>Sikafloor 3 Quarz Top Endurecedor p/ Hormigon x 25kg</t>
  </si>
  <si>
    <t>Agregados (Costos por m3)</t>
  </si>
  <si>
    <t>Arena fina</t>
  </si>
  <si>
    <t>Metro cùbico</t>
  </si>
  <si>
    <t>Arena mediana</t>
  </si>
  <si>
    <t>Canto rodado de 1°</t>
  </si>
  <si>
    <t>Canto rodado de 2°</t>
  </si>
  <si>
    <t>Conchilla</t>
  </si>
  <si>
    <t>Piedra binder, 3/6</t>
  </si>
  <si>
    <t>Piedra partida, 10/30 (para estacionamiento)</t>
  </si>
  <si>
    <t>Piedra partida, 30/90</t>
  </si>
  <si>
    <t>Piedra partida, 6/20</t>
  </si>
  <si>
    <t>Amoblamiento para Cocinas, Placares y Vestidores</t>
  </si>
  <si>
    <t>Alacena 0,30 x 0,60 mts (Estructura, puertas y estantes de aglomerado enchapado, enlaminado plástico c/ estante y cajonera)</t>
  </si>
  <si>
    <t>Metro lineal</t>
  </si>
  <si>
    <t>Bajo mesada h= 0,80 mts (estructura, puertas y estantes de aglomerado enchapado, enlaminado plástico c/ estante y cajonera)</t>
  </si>
  <si>
    <t>Bajos y alacena modelo alta</t>
  </si>
  <si>
    <t>Bajos y alacena modelo economico</t>
  </si>
  <si>
    <t>Bajos y alacena modelo standard</t>
  </si>
  <si>
    <t>Placard 1.50x2.30x0.60 melamina 18mm, color blanco. Tapacantos de PVC. Cajones con guías telescópicas. Barral de hierro cromado. Puertas corredizas con perfiles de aluminio anodizado.</t>
  </si>
  <si>
    <t>Placard 2.00x2.30x0.60 melamina 18mm, color blanco. Tapacantos de PVC. Cajones con guías telescópicas. Barral de hierro cromado. Puertas corredizas con perfiles de aluminio anodizado.</t>
  </si>
  <si>
    <t>Placard 2.40x2.30x0.60 melamina 18mm, color blanco. Tapacantos de PVC. Cajones con guías telescópicas. Barral de hierro cromado. Puertas corredizas con perfiles de aluminio anodizado.</t>
  </si>
  <si>
    <t>Vestidor 1.50x2.30x0.45 melamina 18mm, color blanco. Tapacantos de PVC. Cajones con guías telescópicas. Barral de hierro cromado. Sin Puertas.</t>
  </si>
  <si>
    <t>Vestidor 2.00x2.30x0.45 melamina 18mm, color blanco. Tapacantos de PVC. Cajones con guías telescópicas. Barral de hierro cromado. Sin Puertas.</t>
  </si>
  <si>
    <t>Vestidor 2.40x2.30x0.45 melamina 18mm, color blanco. Tapacantos de PVC. Cajones con guías telescópicas. Barral de hierro cromado. Sin Puertas.</t>
  </si>
  <si>
    <t>Artefactos, Griferias y Accesorios Sanitarios</t>
  </si>
  <si>
    <t>Accesorios Ferrum Blancos Linea Fix (5 piezas)</t>
  </si>
  <si>
    <t>Accesorios Ferrum Blancos Linea Fix (9 piezas)</t>
  </si>
  <si>
    <t>Accesorios Ferrum Color Linea Fix (9 piezas)</t>
  </si>
  <si>
    <t>Asiento Derpla Andina Blanco</t>
  </si>
  <si>
    <t>Asiento Ferrum Adriatico H/Nylon Blanco TAXB</t>
  </si>
  <si>
    <t>Asiento Ferrum Bari H/Cromo Blanco TKXMC</t>
  </si>
  <si>
    <t>Asiento Ferrum Bari Madera Herrajes Plásticos Blanco</t>
  </si>
  <si>
    <t>Asiento Roca Mónaco Herraje Nylon Mdf Laqueada Blanco</t>
  </si>
  <si>
    <t>Bacha Ferrum Arianna Blanca LCH</t>
  </si>
  <si>
    <t>Bacha Ferrum Citera de apoyo blanca LWZFB acabado brillante color blanco</t>
  </si>
  <si>
    <t>Bacha Ferrum Congreso p/ embutir 0,50 x 0,37, Color Blanca.</t>
  </si>
  <si>
    <t>Bañera Ferrum 150cm x 70cm x 37.5cm, Color Blanca. B015C</t>
  </si>
  <si>
    <t>Bañera Ferrum 170cm x 70cm x 37cm Chapa Enlozada Acero Porcelanizado Color Blanco</t>
  </si>
  <si>
    <t>Bidet Ferrum Andina BEA</t>
  </si>
  <si>
    <t>Bidet Ferrum Bari 3AG. Blanco BKT3B</t>
  </si>
  <si>
    <t>Bidet Ferrum Catriel blanco común (1 o 3 agujeros)</t>
  </si>
  <si>
    <t>Bidet Ferrum Catriel Color (1 o 3 agujeros)</t>
  </si>
  <si>
    <t>Bidet Ferrum Marina 1AG. Blanco BHA1JB</t>
  </si>
  <si>
    <t>Botiquín Dhinox Acero Inoxidable, 1 cuerpo 40x50x8cm Hd2 Color Plateado</t>
  </si>
  <si>
    <t>Botiquín Dhinox Acero Inoxidable, 3 cuerpos 60x40x8cm Color Plateado</t>
  </si>
  <si>
    <t>Columna Ferrum Andina para Lavatorio Blanca. CTF B</t>
  </si>
  <si>
    <t>Columna Ferrum Blanco CKCB</t>
  </si>
  <si>
    <t>Deposito Ferrum Andina de Apoyar Dual Blanco 4.5L</t>
  </si>
  <si>
    <t>Deposito Ferrum Andina DPCXF Colgar 9lts Blanco</t>
  </si>
  <si>
    <t>Deposito Ferrum Bari Blanco DKMXFB</t>
  </si>
  <si>
    <t>Deposito Ferrum Marina Doble descarga Blanco DHWXF</t>
  </si>
  <si>
    <t>Duchador Bidet de Mano Gatillo Para Inodoro Cromado</t>
  </si>
  <si>
    <t>Grifería Bidet Allegro CR. FV 295/15</t>
  </si>
  <si>
    <t>Grifería Bidet Arizona Plus FV 295/B1P</t>
  </si>
  <si>
    <t>Grifería Bidet Libby CR. FV 295/39</t>
  </si>
  <si>
    <t>Grifería Cocina Ext. Arizona Pared CR. FV 409/B1P</t>
  </si>
  <si>
    <t>Grifería Cocina Ext. p/Móvil c/Ext. Allegro CR. Fv 409/15</t>
  </si>
  <si>
    <t>Grifería Cocina Libby CR. FV 428/39</t>
  </si>
  <si>
    <t>Grifería Cocina Monocomando Cipres CR. FV 0411.04/N2</t>
  </si>
  <si>
    <t>Grifería Cocina p/Móvil Allegro CR. FV 403/15</t>
  </si>
  <si>
    <t>Grifería Cocina Pico Móvil Bajo Arizona Plus CR. Fv 403/B1P CR</t>
  </si>
  <si>
    <t>Grifería Cocina/Lavadero Monocomando de Pared Ext. Puelo CR. FV 406/B5</t>
  </si>
  <si>
    <t>Grifería Juego Lavatorio de pared + bidet + bañera c/transf. FV (modelo Libby)</t>
  </si>
  <si>
    <t>Grifería Kit Accesorios 5 Piezas Arizona CR. FV 179.05/B1</t>
  </si>
  <si>
    <t>Grifería Kit Accesorios 6 Piezas Alegro CR. FV 179.06/15</t>
  </si>
  <si>
    <t>Grifería Kit Accesorios 6 Piezas Libby CR. FV 179.06/39</t>
  </si>
  <si>
    <t>Grifería Lavatorio Allegro CR. FV 207/15</t>
  </si>
  <si>
    <t>Grifería Lavatorio Arizona Plus CR. FV 207/B1P</t>
  </si>
  <si>
    <t>Grifería Lavatorio de Mesada Libby CR. FV 207/39</t>
  </si>
  <si>
    <t>Grifería Lavatorio de Pared Libby CR. FV 203/</t>
  </si>
  <si>
    <t>Griferia Lavatorio Monocomando Puelo CR. FV 181.01/B5</t>
  </si>
  <si>
    <t>Grifería Lluvia c/transf. Allegro CR. Fv 103/15</t>
  </si>
  <si>
    <t>Grifería Lluvia c/transf. Libby CR. FV 103/39</t>
  </si>
  <si>
    <t>Grifería Lluvia s/transf Arizona Plus CR. FV 109/B1P</t>
  </si>
  <si>
    <t>Hidromasaje Aura 1,70 x 70 x 39cm 6 Jets Regul. (BH170S)</t>
  </si>
  <si>
    <t>Hidromasajes Columna Panel Ducha Escocesa y Jets Acero Monocomando Color Silver</t>
  </si>
  <si>
    <t>Inodoro Ferrum Andina Largo Blanco</t>
  </si>
  <si>
    <t>Inodoro Ferrum Bari Largo Blanco. IKLB</t>
  </si>
  <si>
    <t>Inodoro ferrum Bari Largo c/Mochila  (Deposito Descarga Dual)</t>
  </si>
  <si>
    <t>Inodoro Ferrum Marina Largo. IHLJB</t>
  </si>
  <si>
    <t>Juego baño 5 piezas, loza blanca, 1ra calidad, linea Victoria Capea-Roca (incluye: lav. mediano-0,54m, columna, bidet, inodoro largo, deposito de apoyo c/mec. de interrup. de agua voluntario y tapa de asiento económica)</t>
  </si>
  <si>
    <t>Lavatorio 3AG.65cm.c/mes.izq. Avignon (L6I3J) p/mueble</t>
  </si>
  <si>
    <t>Lavatorio Ferrum Andina Blanco Color</t>
  </si>
  <si>
    <t>Lavatorio Ferrum Andina LEA</t>
  </si>
  <si>
    <t>Lavatorio Ferrum Bari 1AG (Incluye Columna)</t>
  </si>
  <si>
    <t>Lavatorio Ferrum Bari 3AG.Blanco LKM3B</t>
  </si>
  <si>
    <t>Lavatorio Ferrum Olivos Blanco de Colgar</t>
  </si>
  <si>
    <t>Lavatorio Ferrum San Isidro blanco /pie grande</t>
  </si>
  <si>
    <t>Lavatorio Ferrum San Isidro Color</t>
  </si>
  <si>
    <t>Mensula Ferrum Chica (Par) 24cm c/Tirafondo y Tarugo</t>
  </si>
  <si>
    <t>Mesada Johnson acero inoxidable de 200x61cm bacha simple</t>
  </si>
  <si>
    <t>Mingitorio Oval Blanco Ferrum</t>
  </si>
  <si>
    <t>Mueble p/lavat. 60cm. sin cajones Blanco Avignon XCIC</t>
  </si>
  <si>
    <t>Pileta de Cocina Doble Acero Inox. Quadra Q76</t>
  </si>
  <si>
    <t>Pileta de Cocina Doble Johnson Q084A (83.8x55.9x17.5) AC.304</t>
  </si>
  <si>
    <t>Pileta de Cocina Doble Mi Pileta 205 (64x37x15) AC.304</t>
  </si>
  <si>
    <t>Pileta de Cocina Simple Acero Inox. Johnson 304</t>
  </si>
  <si>
    <t>Pileta de Lavar Blanca c/Fregadero Ferrum</t>
  </si>
  <si>
    <t>Pileta de Lavar Blanca c/Fregadero Ferrum (PFC) 56 x 37 Grande</t>
  </si>
  <si>
    <t>Pileta de Lavar Blanca c/Fregadero Plástica</t>
  </si>
  <si>
    <t>Pileta de Lavar Blanca s/fregadero Ferrum</t>
  </si>
  <si>
    <t>Pileta de Lavar c/Azulejado Interior, 0,70x0,45</t>
  </si>
  <si>
    <t>Pileta de Lavar c/Azulejado Total, 0,70x0,45</t>
  </si>
  <si>
    <t>Pileta de Lavar s/Azulejar, 0,70x0,45</t>
  </si>
  <si>
    <t>Receptáculo Ducha, 76x76x12, Acrílico Blanco. Ferrum Khios</t>
  </si>
  <si>
    <t>Vanitory Madera Colgante c/mesada c/1 cajonera de 60cm. (Color Olmo) Calidad Nórdico</t>
  </si>
  <si>
    <t>Vanitory Melamina Blanca c/mesada 50cm. y Patas Antideslizantes.</t>
  </si>
  <si>
    <t xml:space="preserve">Cales, Cementos, Finos, Pegamentos, Pastina y Hormigones </t>
  </si>
  <si>
    <t>Adhesivo de Contacto Fortex 101 x 4lts</t>
  </si>
  <si>
    <t>Adhesivo de Contacto para alfombra Tacsa, 4 lts.</t>
  </si>
  <si>
    <t>Adhesivo Sika Pegamento para atérmicos x 30kg</t>
  </si>
  <si>
    <t>Arcilla Refractaria Fara x 30kg</t>
  </si>
  <si>
    <t>Cal Aérea Hidratada El Milagro</t>
  </si>
  <si>
    <t>Cal Hidráulica, Hidralit Avellaneda</t>
  </si>
  <si>
    <t>Cemento Blanco Weber Pinguino</t>
  </si>
  <si>
    <t>Cemento de Albanileria, Plasticor Loma Negra</t>
  </si>
  <si>
    <t>Cemento Loma Negra</t>
  </si>
  <si>
    <t>Cemento Refractario Klaukol</t>
  </si>
  <si>
    <t>Cemento Refractario Klaukol x 10kg</t>
  </si>
  <si>
    <t>Fino a la cal exterior. Stuko</t>
  </si>
  <si>
    <t>Fino a la cal interior. Stuko</t>
  </si>
  <si>
    <t>Hormigon Elaborado H-21</t>
  </si>
  <si>
    <t>Hormigon puesto en obra c/ escombro triturado p/ contrapiso</t>
  </si>
  <si>
    <t>Hormigon puesto en obra c/ piedra partida, 150 kg/m3, (H4)</t>
  </si>
  <si>
    <t>Hormigon puesto en obra c/ piedra partida, 300 kg/m3, (H17)</t>
  </si>
  <si>
    <t xml:space="preserve">Mortero Adhesivo Retak </t>
  </si>
  <si>
    <t>Mortero Adhesivo Retak x 30kg.</t>
  </si>
  <si>
    <t>Pasta niveladora Kekol KL-73 x 35kg</t>
  </si>
  <si>
    <t>Pastina para Ceramico Klaukol</t>
  </si>
  <si>
    <t>Pastina para Porcellanato Klaukol</t>
  </si>
  <si>
    <t>Pegamento para cerámico x 30kg. Klaukol</t>
  </si>
  <si>
    <t>Pegamento para porcellanato x 30kg. Klaukol</t>
  </si>
  <si>
    <t>Pigmento Ferrite (Color a elección)</t>
  </si>
  <si>
    <t>Pigmento Ferrite negro</t>
  </si>
  <si>
    <t>Rapribrick Klaukol</t>
  </si>
  <si>
    <t>Revoque Exterior 3 en 1 x 30kg. Weber</t>
  </si>
  <si>
    <t>Revoque Interior 2 en 1 x 30kg. Weber</t>
  </si>
  <si>
    <t>Sellador MS Cristal. 290ML Fischer</t>
  </si>
  <si>
    <t>Carpinterías de Aluminio</t>
  </si>
  <si>
    <t>Cortina para enrollar de Aluminio</t>
  </si>
  <si>
    <t>Mosquitero Aluminio p/A30 New.</t>
  </si>
  <si>
    <t>Mosquitero Aluminio p/Herrero</t>
  </si>
  <si>
    <t>Mosquitero Aluminio p/Modena</t>
  </si>
  <si>
    <t>Portón Garage 2.40 x 2.00, Ciego Reforzado. Linea Modena</t>
  </si>
  <si>
    <t>Portón Garage 2.40 x 2.00, Vidriado. Linea Modena</t>
  </si>
  <si>
    <t>Premarco Perfil de Aluminio p/A30 New</t>
  </si>
  <si>
    <t>Premarco Perfil de Aluminio p/Herrero</t>
  </si>
  <si>
    <t>Premarco Perfil de Aluminio p/Modena</t>
  </si>
  <si>
    <t>Puerta Exterior Frente 0.80 x 2.00, Linea A30</t>
  </si>
  <si>
    <t>Puerta Exterior Frente 0.80 x 2.00, Linea Herrero</t>
  </si>
  <si>
    <t>Puerta Exterior Frente 0.80 x 2.00, Linea Modena</t>
  </si>
  <si>
    <t>Puerta Frente Reforzado Blanco Modelo Ciego, 0,80 x 2,00 Linea Modena</t>
  </si>
  <si>
    <t>Puerta Frente Reforzado Blanco Modelo Ciego, 1,60 x 2,00 (Doble Puerta) Linea Modena</t>
  </si>
  <si>
    <t>Puerta Frente Reforzado Blanco, Modelo Vidriada c/Trav. Horiz., 0,80 x 2,00 Linea Modena</t>
  </si>
  <si>
    <t>Puerta Mosquitero Aluminio Color, 085 x 2,00</t>
  </si>
  <si>
    <t>Puerta Mosquitero Aluminio Natural, 0,85 x 2,00</t>
  </si>
  <si>
    <t>Simplones Blanco, 0,60 x 0,30/0,40 Linea Modena</t>
  </si>
  <si>
    <t>Simplones Blanco, 0,80 x 0,30/0,40 Linea Modena</t>
  </si>
  <si>
    <t>Ventana Balcón 1.60 x 2.00 Corrediza c/Cortina de PVC, Linea A30</t>
  </si>
  <si>
    <t>Ventana Balcón 1.60 x 2.00 Corrediza c/Cortina de PVC, Linea Herrero</t>
  </si>
  <si>
    <t>Ventana Balcón 1.60 x 2.00 Corrediza c/Cortina de PVC, Linea Modena</t>
  </si>
  <si>
    <t>Ventana Balcón 1.60 x 2.00 Corrediza. Linea A30</t>
  </si>
  <si>
    <t>Ventana Balcón 1.60 x 2.00 Corrediza. Linea Herrero</t>
  </si>
  <si>
    <t>Ventana Balcón 1.60 x 2.00 Corrediza. Linea Modena</t>
  </si>
  <si>
    <t>Ventana Balcón 2.00 x 2.00 Corrediza c/Cortina de PVC, Linea Modena</t>
  </si>
  <si>
    <t>Ventana Balcón 2.00 x 2.00 Corrediza, Linea Modena</t>
  </si>
  <si>
    <t>Ventana Blanco, Reforzada c/Guía Tipo Barrio, 1,20 x 1,50 Linea Modena</t>
  </si>
  <si>
    <t>Ventana Blanco, Reforzada c/Guía Tipo Barrio, 1,50 x 1,50 Linea Modena</t>
  </si>
  <si>
    <t>Ventana Blanco, Reforzada c/Guía Tipo Barrio, 1,50 x 2,00 Linea Modena</t>
  </si>
  <si>
    <t>Ventana Blanco, Reforzada c/Guía Tipo Barrio, 1,80 x 1,50 Linea Modena</t>
  </si>
  <si>
    <t>Ventana Corrediza 1.50 x 1.10 c/Cortina de PVC. Linea A30</t>
  </si>
  <si>
    <t>Ventana Corrediza 1.50 x 1.10 c/Cortina de PVC. Linea Herrero</t>
  </si>
  <si>
    <t>Ventana Corrediza 1.50 x 1.10 c/Cortina de PVC. Linea Modena</t>
  </si>
  <si>
    <t>Ventana Corrediza 1.50 x 1.10. Linea A30</t>
  </si>
  <si>
    <t>Ventana Corrediza 1.50 x 1.10. Linea Herrero</t>
  </si>
  <si>
    <t>Ventana Corrediza 1.50 x 1.10. Linea Modena</t>
  </si>
  <si>
    <t>Ventana Corrediza 2.00 x 0.60. Linea Modena</t>
  </si>
  <si>
    <t>Ventana Oscilobatiente 0.60 x 1.10. Linea Modena</t>
  </si>
  <si>
    <t>Ventana Paño Fijo 0.60 x 1.10. Linea Modena</t>
  </si>
  <si>
    <t>Ventana Paño Fijo 0.60 x 1.50. Linea Modena</t>
  </si>
  <si>
    <t>Ventana Paño Fijo 2.00 x 1.50. Linea Modena</t>
  </si>
  <si>
    <t>Ventana Paño Fijo 3.00 x 1.50. Linea Modena</t>
  </si>
  <si>
    <t>Ventiluz 1.00 x 0.50, Corredizo. Linea A30</t>
  </si>
  <si>
    <t>Ventiluz 1.00 x 0.50, Corredizo. Linea Herrero</t>
  </si>
  <si>
    <t>Ventiluz 1.00 x 0.50, Corredizo. Linea Modena</t>
  </si>
  <si>
    <t>Carpinterías de Madera</t>
  </si>
  <si>
    <t>Baranda Modular p/Escalera (Eco-STD)</t>
  </si>
  <si>
    <t>Bastidor Portón Levadizo Ref. p/ 3 hojas 0,80 (2,40 x 2,00)</t>
  </si>
  <si>
    <t>Cortina de Enrollar Común Raulí Chileno c/Accesorios</t>
  </si>
  <si>
    <t>Cortinas Enrollar Cedro 1°, Completa c/Herrajes y Accesorios Tipo Común</t>
  </si>
  <si>
    <t>Cortinas Enrollar Rauli Chileno 1°, Completa c/Herrajes y Accesorios Tipo Común</t>
  </si>
  <si>
    <t>Frente Placard c/Baulera, Marco chapa, Corredizo, de Cedro, 1,45 x 2,40</t>
  </si>
  <si>
    <t>Frente Placard c/Baulera, Marco Chapa, Corredizo, de Cedro, 2,05 x 2,40</t>
  </si>
  <si>
    <t>Frente Placard c/Baulera, Marco Chapa, de Abrir, de Cedro, 1,50 x 2,40</t>
  </si>
  <si>
    <t>Frente Placard c/Baulera, Marco Chapa, de Abrir, de Cedro, 2,00 x 2,40</t>
  </si>
  <si>
    <t>Frente Placard Corredizo MDF Marco Chapa 2,00 x 2,40 mts</t>
  </si>
  <si>
    <t>Frente Placard Corredizo Pino Marco Chapa 2,00 x 2,40 mts</t>
  </si>
  <si>
    <t>Kit Portón Corredizo Hierro, Guía Galvanizada hasta 3,25mts, Roma</t>
  </si>
  <si>
    <t>Ojo de Buey, Cedro, de Abrir, 0,60 m. Diametro</t>
  </si>
  <si>
    <t>Porton de Garage 2.40 x 2.00, Ciego Reforzado, Cedro Macizo</t>
  </si>
  <si>
    <t>Portón de Garage 2.40 x 2.00, Ciego Reforzado, Pino/Álamo</t>
  </si>
  <si>
    <t>Portón de Garage 2.40 x 2.00, Ciego Reforzado, Quebracho Blanco</t>
  </si>
  <si>
    <t>Portón de Garage Cedro, 2´´ esp. 1°, Marco Madera Dura o Chapa n°16, 2,40 x 2,00 de Abrir.</t>
  </si>
  <si>
    <t>Portón Levadizo Automático Oblak mod. 2331 Madera 2,40 x 2,00 mts</t>
  </si>
  <si>
    <t>Puerta Frente Exterior 0.80 x 2.00, Cedro</t>
  </si>
  <si>
    <t>Puerta Frente Exterior 0.80 x 2.00, Cedro (1ra calidad)</t>
  </si>
  <si>
    <t>Puerta Frente Exterior 0.80 x 2.00, Pino</t>
  </si>
  <si>
    <t>Puerta Frente Exterior Estilo Colonial 0.90 x 2.00, Cedro (Incluye reja artesanal)</t>
  </si>
  <si>
    <t>Puerta Frente Exterior Estilo Colonial 1.60 x 2.00, Cedro (Incluye reja artesanal)</t>
  </si>
  <si>
    <t>Puerta Placa Cedro Oblak Pantografiada 0,70 x 2,00 c/Marco</t>
  </si>
  <si>
    <t>Puerta Placa de Pino 1°, Marco Chapa, Estandar, 0,60/0,70 x 2,00</t>
  </si>
  <si>
    <t>Puerta Placa de Pino 1°, Marco Chapa, Reforzada, 0,60/0,70 x 2,00</t>
  </si>
  <si>
    <t>Puerta Placa de Pino 1°, Marco Chapa, Reforzada, 0,80 x 2,00</t>
  </si>
  <si>
    <t>Puerta Placa Enchapada en Cedro 1°, Corrediza de Embutir, Marco Madera, Hoja 60/70 x 2,00</t>
  </si>
  <si>
    <t>Puerta Placa Enchapada en Cedro 1°, Marco Chapa, 0,60/0,70 x 2,00</t>
  </si>
  <si>
    <t>Puerta Placa Enchapada en Cedro 1°, Marco Chapa, 0,80 x 2,00</t>
  </si>
  <si>
    <t>Puerta Placa Enchapada en Cedro 1°, Marco Madera, 0,60/0,70 x 2,00</t>
  </si>
  <si>
    <t>Puerta Placa Enchapada en Cedro 1°, Marco Madera, 0,80 x 2,00</t>
  </si>
  <si>
    <t>Puerta Placa Enchapada en Pino 0,60/0,70 x 2,00 c/Marco de Chapa</t>
  </si>
  <si>
    <t>Puerta Placa Hoja 60/70 x 2,00, Pino</t>
  </si>
  <si>
    <t>Puerta Placa Hoja Cedro 60/70 x 2,00, Marco Chapa Doble Contacto</t>
  </si>
  <si>
    <t>Puerta Placa Hoja Pino 60/70 x 2,00, Marco Chapa Doble Contacto</t>
  </si>
  <si>
    <t>Puerta Placa MDF 70/80 x 2,00 Oblak p/Durlock</t>
  </si>
  <si>
    <t>Puerta Placa mod. Curupi Oblak 0,70 x 2,00 c/Marco de Chapa</t>
  </si>
  <si>
    <t>Puerta Residencial Oblak Eterna mod.1183 doble hoja 1,40mts</t>
  </si>
  <si>
    <t>Ventana Balcón 1.60 x 2.00 c/Cortina de PVC, Cedro</t>
  </si>
  <si>
    <t>Ventana Balcón 1.60 x 2.00 c/Cortina de PVC, Cedro c/Vidrio Repartido</t>
  </si>
  <si>
    <t>Ventana Balcón 1.60 x 2.00 c/Cortina de PVC, Pino/Álamo</t>
  </si>
  <si>
    <t>Ventana Balcón 1.60 x 2.00 de Cedro</t>
  </si>
  <si>
    <t>Ventana Balcón 1.60 x 2.00 de Cedro c/Vidrio Repartido</t>
  </si>
  <si>
    <t>Ventana Balcón 1.60 x 2.00 de Pino/Álamo</t>
  </si>
  <si>
    <t>Ventana Cedro Doble Contacto, 2´´ esp. c/Herrajes de Bronce, Marco de Madera o Chapa n°18, Hojas de Abrir Vidrio Entero c/Guía Común 1,50 x 1,10</t>
  </si>
  <si>
    <t>Ventana Cedro Doble Contacto, 2´´ esp. c/Herrajes de Bronce, Marco de Madera o Chapa n°18, Hojas de Abrir Vidrio Entero c/Guía Común 1,50 x 2,00</t>
  </si>
  <si>
    <t>Ventana Cedro, 2´´ esp. c/Herrajes de Bronce, Marco de Madera o Chapa n°16, Hojas Corredizas c/Celosía Vidrio Repartido, 1,20 x 0,80</t>
  </si>
  <si>
    <t>Ventana Cedro, 2´´ esp. c/Herrajes de Bronce, Marco de Madera o Chapa n°16, Hojas Corredizas c/Celosía Vidrio Repartido, 1,50 x 1,10</t>
  </si>
  <si>
    <t>Ventana Cedro, 2´´ esp. c/Herrajes de Bronce, Marco de Madera o Chapa n°16, Hojas Corredizas Vidrio Entero c/Guía Común 1,20 x 0,80</t>
  </si>
  <si>
    <t>Ventana Corrediza/Abrir 1.50 x 1.10, Cedro</t>
  </si>
  <si>
    <t>Ventana corrediza/abrir 1.50 x 1.10, Cedro c/cortina de PVC</t>
  </si>
  <si>
    <t>Ventana Corrediza/Abrir 1.50 x 1.10, Cedro c/Vidrio Repartido</t>
  </si>
  <si>
    <t>Ventana Corrediza/Abrir 1.50 x 1.10, Cedro c/Vidrio Repartido y Cortina de PVC</t>
  </si>
  <si>
    <t>Ventana Corrediza/Abrir 1.50 x 1.10, Pino c/Cortina de PVC</t>
  </si>
  <si>
    <t>Ventana Corrediza/Abrir 1.50 x 1.10, Pino/Álamo</t>
  </si>
  <si>
    <t>Ventiluz 1.00 x 0.50, Corredizo de Cedro</t>
  </si>
  <si>
    <t>Ventiluz 1.00 x 0.50, Corredizo de Cedro (1ra calidad)</t>
  </si>
  <si>
    <t>Ventiluz 1.00 x 0.50, Corredizo de Pino/Álamo</t>
  </si>
  <si>
    <t>Carpinterías de PVC</t>
  </si>
  <si>
    <t>Cortina de enrollar blanco comun completa. PVC</t>
  </si>
  <si>
    <t>Cortina de Enrollar, Blanco Reforzado c/Herrajes y Accesorios. PVC</t>
  </si>
  <si>
    <t>Cortina de Enrollar, de Color Reforzado c/Herrajes y Accesorios. PVC</t>
  </si>
  <si>
    <t>Kit Completo para Automatización de Portón Batiente Doble, c/Detector de Obstáculos (Fotocélula) y Receptor, c/2 Llaveros Transmisores (c/instalacion incluida)</t>
  </si>
  <si>
    <t>Kit Completo para Automatización de Portón Batiente Simple, c/Detector de Obstáculos (Fotocélula) y Receptor, c/2 Llaveros Transmisores (c/Instalación Incluida)</t>
  </si>
  <si>
    <t>Puerta Exterior Seguridad, 0,80 x 2,00. PVC</t>
  </si>
  <si>
    <t>Puerta Exterior Vidriada, 0,80 x 2,00. PVC</t>
  </si>
  <si>
    <t>Puerta Plegadiza, 0,75 x 2,00 Ciega Estándar. PVC</t>
  </si>
  <si>
    <t>Ventana Balcón PVC 1.50 x 2.00 Corrediza, Color Blanco. Incluye DVH 4/9/4.</t>
  </si>
  <si>
    <t>Ventana Balcón PVC 1.50 x 2.00 Corrediza, Color Blanco. Incluye vidrio de 4mm</t>
  </si>
  <si>
    <t>Ventana Balcón PVC 2.00 x 2.00 Corrediza, Color Blanco. Incluye DVH 4/9/4.</t>
  </si>
  <si>
    <t>Ventana Balcón PVC 2.00 x 2.00 Corrediza, Color Blanco. Incluye vidrio de 4mm</t>
  </si>
  <si>
    <t>Ventana PVC 0.60 x 1.10 Oscilobatiente, Color Blanco. Incluye DVH 4/9/4.</t>
  </si>
  <si>
    <t>Ventana PVC 0.60 x 1.10 Paño Fijo, Color Blanco. Incluye DVH 4/9/4.</t>
  </si>
  <si>
    <t>Ventana PVC 0.60 x 1.50 de Abrir común, Color Blanco. Incluye DVH 4/9/4.</t>
  </si>
  <si>
    <t>Ventana PVC 0.60 x 1.50 de Abrir común, Color Blanco. Incluye vidrio de 4mm</t>
  </si>
  <si>
    <t>Ventana PVC 0.60 x 1.50 Oscilobatiente, Color Blanco. Incluye DVH 4/9/4.</t>
  </si>
  <si>
    <t>Ventana PVC 0.60 x 1.50 Paño Fijo, Color Blanco. Incluye DVH 4/9/4.</t>
  </si>
  <si>
    <t>Ventana PVC 1.20 x 0.60 Corrediza, Color Blanco. Incluye DVH 4/9/4.</t>
  </si>
  <si>
    <t>Ventana PVC 1.20 x 0.60 Corrediza, Color Blanco. Incluye vidrio de 4mm</t>
  </si>
  <si>
    <t>Ventana PVC 1.20 x 1.10 Corrediza, Color Blanco. Incluye DVH 4/9/4.</t>
  </si>
  <si>
    <t>Ventana PVC 1.20 x 1.10 Corrediza, Color Blanco. Incluye vidrio de 4mm</t>
  </si>
  <si>
    <t>Ventana PVC 1.50 x 1.10 Corrediza, Color Blanco. Incluye DVH 4/9/4.</t>
  </si>
  <si>
    <t>Ventana PVC 1.50 x 1.10 Corrediza, Color Blanco. Incluye vidrio de 4mm</t>
  </si>
  <si>
    <t>Ventana PVC 1.50 x 1.10 Paño Fijo, Color Blanco. Incluye DVH 4/9/4.</t>
  </si>
  <si>
    <t>Ventana PVC 1.50 x 1.10 Paño Fijo, Color Blanco. Incluye vidrio de 4mm</t>
  </si>
  <si>
    <t>Ventana PVC 1.50 x 1.50 Corrediza, Color Blanco. Incluye DVH 4/9/4.</t>
  </si>
  <si>
    <t>Ventana PVC 1.50 x 1.50 Corrediza, Color Blanco. Incluye vidrio de 4mm</t>
  </si>
  <si>
    <t>Ventana PVC 1.50 x 1.50 Paño Fijo, Color Blanco. Incluye DVH 4/9/4.</t>
  </si>
  <si>
    <t>Ventana PVC 1.50 x 1.50 Paño Fijo, Color Blanco. Incluye vidrio de 4mm</t>
  </si>
  <si>
    <t>Ventana PVC 2.00 x 0.60 Corrediza, Color Blanco. Incluye DVH 4/9/4.</t>
  </si>
  <si>
    <t>Ventana PVC 2.00 x 1.50 Paño Fijo, Color Blanco. Incluye DVH 4/9/4.</t>
  </si>
  <si>
    <t>Ventana PVC 2.00 x 1.50 Paño Fijo, Color Blanco. Incluye vidrio de 4mm</t>
  </si>
  <si>
    <t>Carpinterías Metálicas</t>
  </si>
  <si>
    <t>Baranda escalera de hierro-madera 16 escalones</t>
  </si>
  <si>
    <t>Baranda escalera en caño de acero inoxidable y vidrio laminado</t>
  </si>
  <si>
    <t>Cortina de Enrollar Metálica, Perforada, p/Ventana</t>
  </si>
  <si>
    <t>Cortina Metálica Enrollable T 7/10" Ref.</t>
  </si>
  <si>
    <t>Portón Corredizo, 2,40 x 2,00, 3 Hojas, Doble Chapa, Liso, Inyectado c/Poliuretano</t>
  </si>
  <si>
    <t>Portón Levadizo Automático Chapa Metalmech Mod. A2001AU-2.55 x 0.05</t>
  </si>
  <si>
    <t>Portón Levadizo Manual Chapa 2,55 x 2,05 Mod. CH-20-A1001</t>
  </si>
  <si>
    <t>Portón Levadizo Seccional Automatizado</t>
  </si>
  <si>
    <t>Portón Levadizo, 2,40 x 2,00, 3 Hojas, Chapa N°20, Inyectado, Ciego</t>
  </si>
  <si>
    <t>Portón Liviano de Abrir, TRES B, 2,40 x 2,00, 3 Hojas, Chapa N°20</t>
  </si>
  <si>
    <t>Portón Liviano de Abrir, TRES B, 2,40 x 2,00, 3 hojas, Doble Chapa, Inyectado</t>
  </si>
  <si>
    <t>Puerta 0,80 x 2,00, 1/2 Vidrio c/Reja Americana y Postigo de Abrir (doble chapa)</t>
  </si>
  <si>
    <t>Puerta 0,80 x 2,00, Zócalo y Vidrio repartido c/Postigo de Abrir (chapa simple)</t>
  </si>
  <si>
    <t>Puerta Chapa Lisa Doble Inyectada de Seguridad 0,90 x 2,00 (ECO)</t>
  </si>
  <si>
    <t>Puerta de Seguridad Bunker Chapa 18 Inyectada 0,90 x 2,00 (STD)</t>
  </si>
  <si>
    <t>Puerta Escape Ciega 0,60 x 1,20 c/Cerradura</t>
  </si>
  <si>
    <t>Puerta Frente Ciega, Inyectada, 0,80 x 2,00 c/Ojo Óptico Lisa</t>
  </si>
  <si>
    <t>Rajas de Abrir Chapa N°20, Vidrio Repartido, Linea Recta, Tipo CASE 0,30 x 0,70</t>
  </si>
  <si>
    <t>Rajas de Abrir Chapa N°20, Vidrio Repartido, Linea Recta, Tipo CASE 0,30 x 1,20</t>
  </si>
  <si>
    <t>Chapas, Tejas y Losas</t>
  </si>
  <si>
    <t>Bloque para Losa c/Viguetas, Ladrillo Telgopor 10 x40 x 100cm.</t>
  </si>
  <si>
    <t>Cerámicas para Losa 11 x 25 x 38</t>
  </si>
  <si>
    <t>Chapa Canaleta Cincalum, calibre 25, Ancho 1.10m</t>
  </si>
  <si>
    <t>Chapa Galvanizadas Autoportantes, Conformada Trapezoidal T90, 90 cm, Ancho Útil, 12 cm. Altura, N°25, (0,50 mm.)</t>
  </si>
  <si>
    <t>Chapa Lisa 1.22 x 2.44, N°24, Galvanizada, Hoja</t>
  </si>
  <si>
    <t>Chapa Lisa 1.22 x 2.44, N°27, Galvanizada, Hoja</t>
  </si>
  <si>
    <t>Chapa Ondulada/Trapezoidal Prepintada, Calibre 25, Ancho 1.10m</t>
  </si>
  <si>
    <t>Chapa Ondulada/Trapezoidal Prepintada, Calibre 27, Ancho 1.10m</t>
  </si>
  <si>
    <t>Chapa Ondulada/Trapezoidal, Calibre 25, Ancho 1.10m</t>
  </si>
  <si>
    <t>Chapa Ondulada/Trapezoidal, Calibre 27, Ancho 1.10m</t>
  </si>
  <si>
    <t>Losa Shap 30 x 1,80 m</t>
  </si>
  <si>
    <t>Losa Shap 30 x 2,20 m</t>
  </si>
  <si>
    <t>Losa Shap 30 x 2,60 m</t>
  </si>
  <si>
    <t>Losa Shap 30 x 3,00 m</t>
  </si>
  <si>
    <t>Losa Shap 30 x 4,00 m</t>
  </si>
  <si>
    <t>Losa Shap 30 x 5,00 m</t>
  </si>
  <si>
    <t>Losa Shap 60/12, de 1,00 a 3,50 m</t>
  </si>
  <si>
    <t>Losa Shap 60/12, de 3,60 a 4,50 m</t>
  </si>
  <si>
    <t>Losa Shap 60/12, de 4,60 a 5,00 m</t>
  </si>
  <si>
    <t>Losa Shap 60/16, de 1,00 a 3,50 m</t>
  </si>
  <si>
    <t>Losa Shap 60/16, de 3,60 a 4,50 m</t>
  </si>
  <si>
    <t>Losa Shap 60/16, de 4,60 a 5,00 m</t>
  </si>
  <si>
    <t>Techo Teja IKO Pizarra Asfáltica Coribel</t>
  </si>
  <si>
    <t>Tejas Coloniales Rojas</t>
  </si>
  <si>
    <t>Tejas Francesas Calvu (sin Esmaltar)</t>
  </si>
  <si>
    <t>Tejas Francesas Calvu Esmaltadas</t>
  </si>
  <si>
    <t>Tejas Francesas Calvu Esmaltadas (Color)</t>
  </si>
  <si>
    <t>Tejas francesas Losa (sin esmaltar)</t>
  </si>
  <si>
    <t>Tejas Francesas Losa Esmaltadas</t>
  </si>
  <si>
    <t>Tejas Francesas Losa Esmaltadas (Color)</t>
  </si>
  <si>
    <t>Viguetas Rectangulares Comunes de 1m</t>
  </si>
  <si>
    <t>Viguetas Rectangulares Comunes de 3.20m</t>
  </si>
  <si>
    <t>Viguetas T Pretensadas (Sin Definición del Largo)</t>
  </si>
  <si>
    <t>Viguetas T Pretensadas de 3.20m</t>
  </si>
  <si>
    <t>Viguetas T Pretensadas de 4.60m</t>
  </si>
  <si>
    <t>Vigueton Shap 30 de 4.50 a 5.5 x m2</t>
  </si>
  <si>
    <t>Construcción en Seco y Steel Framing</t>
  </si>
  <si>
    <t>Adhesivo RS Durlock</t>
  </si>
  <si>
    <t>Anclaje Ampolla Química Steel Frame M12 + Varilla</t>
  </si>
  <si>
    <t>Anclaje Escuadra HTT14</t>
  </si>
  <si>
    <t>Buña Perimetral Z x 2,60 mts.</t>
  </si>
  <si>
    <t>Cabezal Sbh-t (Cabezal de PVC para Placa EPS)</t>
  </si>
  <si>
    <t>Cantonera Durlock Metal Galvanizado x 2,60 m</t>
  </si>
  <si>
    <t>Cinta de papel x 76mm - Durlock (rollo de 150 ml)</t>
  </si>
  <si>
    <t>Cinta Papel Microperforada de 52mm x 76mts</t>
  </si>
  <si>
    <t>Deck de PVC WPC Simil Madera Exterior c/Accesorios</t>
  </si>
  <si>
    <t>Enduido Durlock (Dos Finas Manos Cruzadas)</t>
  </si>
  <si>
    <t>Larguero para Cielorraso Desmontable x 3,66 ml</t>
  </si>
  <si>
    <t>Malla de Fibra de Vidrio 5 x 5. 160 gr.</t>
  </si>
  <si>
    <t>Masilla Anclaflex</t>
  </si>
  <si>
    <t>Masilla Durlock (Lista Para Usar)</t>
  </si>
  <si>
    <t>Masilla Secado Rápido Durlock</t>
  </si>
  <si>
    <t>Moldura de Telgopor 25x20mm. x 2,00 mts.</t>
  </si>
  <si>
    <t>Moldura de Tergopol 25x20mm. (Lista p/Pintar)</t>
  </si>
  <si>
    <t>Montante de 34mm x 2.60mts</t>
  </si>
  <si>
    <t>Montante de 69mm x 2.60mts</t>
  </si>
  <si>
    <t>Perfil Arranque 50 Sistema EIFS x 2,50 mts</t>
  </si>
  <si>
    <t>Perfil Omega x 2,60 mts</t>
  </si>
  <si>
    <t xml:space="preserve">Perfil PGC 100mm. 0,90 de 6 mts. </t>
  </si>
  <si>
    <t xml:space="preserve">Perfil PGC 70mm. 0,90 de 6 mts. </t>
  </si>
  <si>
    <t xml:space="preserve">Perfil PGU 100mm. 0,90 de 6 mts. </t>
  </si>
  <si>
    <t xml:space="preserve">Perfil PGU 70mm. 0,90 de 6 mts. </t>
  </si>
  <si>
    <t>Perimetral para Cielorraso Desmontable x 3,05 ml</t>
  </si>
  <si>
    <t>Placa  Cementicia Superboard 1,20 x 2,40 mts. Esp: 8mm Borde Recto.</t>
  </si>
  <si>
    <t>Placa Deco Clasic Texturada Clasica 0,60 x 0,60 mts.</t>
  </si>
  <si>
    <t>Placa Deco Clasic Texturada Clasica 0,60 x 1,20 mts.</t>
  </si>
  <si>
    <t>Placa EPS Alta Densidad 1,00 x 1,00 mts. Esp.: 30mm</t>
  </si>
  <si>
    <t>Placa OSB 11,1 mm LP de 1,22 x 2,44 mts</t>
  </si>
  <si>
    <t>Placa RS (Revoque Seco) Durlock. 1,20 x 2,60 mts.</t>
  </si>
  <si>
    <t>Placa Siding Cedar Cedral 8mm. 0,20 x 3,60 mts.</t>
  </si>
  <si>
    <t>Placa Yeso Durlock 12.5mm Std. 1.20 x 2.40 mts.</t>
  </si>
  <si>
    <t>Placa yeso Durlock 9.5mm Std. 1.20 x 2.40 mts.</t>
  </si>
  <si>
    <t>Placa Yeso Durlock RH 12.5 1.20 x 2.40 mts. (Ignífuga)</t>
  </si>
  <si>
    <t>Placa Yeso Durlock RH 12.5 1.20 x 2.40 mts. (Resistente Humedad)</t>
  </si>
  <si>
    <t>Solera de 35mm x 2.60 mts.</t>
  </si>
  <si>
    <t>Solera de 70mm x 2.60 mts.</t>
  </si>
  <si>
    <t>Travesaño Corto para Cielorraso Desmontable de 0,61 ml</t>
  </si>
  <si>
    <t>Zocalo Blanco MDF 623 12mm x 82mm x 3,66 mts.</t>
  </si>
  <si>
    <t>Zócalo Poliestireno Textura Madera 12mm x 70mm</t>
  </si>
  <si>
    <t>Zocalo Premiun 2,55 mts Roble</t>
  </si>
  <si>
    <t>Zócalo Prepintado Blanco MDF PZ 78 Liso - 12mm x 78mm x 2,75mts</t>
  </si>
  <si>
    <t>Cristales, Vidrios y Espejos</t>
  </si>
  <si>
    <t>Cristal Float Incoloro 3mm</t>
  </si>
  <si>
    <t>Cristal Float Incoloro 4mm</t>
  </si>
  <si>
    <t>Cristal Float Incoloro 6mm</t>
  </si>
  <si>
    <t>Cristal Reflejante (Espejado), 4mm</t>
  </si>
  <si>
    <t>Doble Vidriado Hermético 3+3/12/4mm</t>
  </si>
  <si>
    <t>Espejo incoloro Float 3mm</t>
  </si>
  <si>
    <t>Espejo incoloro Float 4mm</t>
  </si>
  <si>
    <t>Espejo Incoloro Float 6mm</t>
  </si>
  <si>
    <t>Espejos Bronce/Gris 4mm</t>
  </si>
  <si>
    <t>Fantasía Color 4mm</t>
  </si>
  <si>
    <t>Fantasía Incoloro 4mm</t>
  </si>
  <si>
    <t>Float Plano Coloreado, Bronce/Gris, 4mm</t>
  </si>
  <si>
    <t>Templado 10mm</t>
  </si>
  <si>
    <t>Vidrio Armado c/Alambre, 6 mm</t>
  </si>
  <si>
    <t>Vidrio Laminado 3+3mm</t>
  </si>
  <si>
    <t>Vidrio Laminado 4+4mm</t>
  </si>
  <si>
    <t>Energías Renovables</t>
  </si>
  <si>
    <t>Kit Solar Completo con Panel 1x160 Energía Usb K4</t>
  </si>
  <si>
    <t>Kit Solar Completo con Paneles 2x270 Energía para casas 1s</t>
  </si>
  <si>
    <t>Kit Solar Completo con Paneles 4x270 Energía para casas 3s</t>
  </si>
  <si>
    <t>Termotanque Ac. Inox. Solar 150 lts. + Kit Eléct. + Barra Mg.</t>
  </si>
  <si>
    <t>Termotanque Ac. Inox. Solar 200 lts. + Kit Eléct. + Barra Mg.</t>
  </si>
  <si>
    <t>Termotanque Ac. Inox. Solar 300 lts. + Kit Eléct. + Barra Mg.</t>
  </si>
  <si>
    <t>Equipamiento</t>
  </si>
  <si>
    <t>Aire Acondicionado BGH Split Frió/Calor. 2350 Frigorías</t>
  </si>
  <si>
    <t>Aire Acondicionado BGH Split Frió/Calor. 4500 Frigorías</t>
  </si>
  <si>
    <t>Aire Acondicionado LG Dual Inverter Split 3000 Kcal/h F/C</t>
  </si>
  <si>
    <t>Aire Acondicionado LG Dualcool Inverter Split Wifi 6500 Kcal/h F/C</t>
  </si>
  <si>
    <t>Anafe 4 Hornallas Longvi A2600BF 60cm</t>
  </si>
  <si>
    <t>Anafe 4 Hornallas Longvi A6600RXF 58cm. Acero Inoxidable.</t>
  </si>
  <si>
    <t>Bomba Czerweny, 0,5HP, Monofásica</t>
  </si>
  <si>
    <t>Caldera Caldaia Duo Forzada 26.000 Kcal. Top SA26F</t>
  </si>
  <si>
    <t>Caldera Peisa Dona 40 BV, 27.000 Kcal/h con Bomba Circuladora y Vaso de Expansion.</t>
  </si>
  <si>
    <t>Caldera Peisa Tecno 24 DSF, Tiro Forzado, Doble Servicio, Color Blanco</t>
  </si>
  <si>
    <t>Caldera Peisa Unica Mini, Tiro Natural 26.000 Kcal.</t>
  </si>
  <si>
    <t>Calefactor Calden TBU 5.0 GN Negro</t>
  </si>
  <si>
    <t>Calefactor Eskabe Titanio Ttmx5 Sin Salida 5000 Kcal/h.</t>
  </si>
  <si>
    <t>Calefactor Eskabe Titanio Ttmx8 Sin Salida 8000 Kcal/h.</t>
  </si>
  <si>
    <t>Calefactor Orbis Tiro Balanceado 5000 Cal.</t>
  </si>
  <si>
    <t>Calefactor Orbis Tiro Natural 3000 Cal.</t>
  </si>
  <si>
    <t>Calefactor Orbis Tiro Natural 5000 Cal.</t>
  </si>
  <si>
    <t>Calefactor Volcán Tiro Balanceado 3000 Cal.</t>
  </si>
  <si>
    <t>Calefactor Volcán Tiro Balanceado 5000 Cal.</t>
  </si>
  <si>
    <t>Calefon Orbis Común 15 L, a Botonera</t>
  </si>
  <si>
    <t>Calefon Orbis Común 15 L, a Corredera</t>
  </si>
  <si>
    <t>Calefon Rhen 14lts. Gas Natural (R7-14L-GN)</t>
  </si>
  <si>
    <t>Calefon Universal 14L, Tiro Balanceado</t>
  </si>
  <si>
    <t>Campana Cocina Maraldi 60cm c/Motor. Acero Inoxidable</t>
  </si>
  <si>
    <t>Campana Cocina Semicircular Col-Home 60cm c/Motor. Acero Inoxidable</t>
  </si>
  <si>
    <t>Cocina Florencia 5517F, 56cm.</t>
  </si>
  <si>
    <t>Cocina Industrial Morelli Saho Kuma 2 Hornallas, Plancha, Multigrill, Puerta Ciega. Medidas 55cm de ancho.</t>
  </si>
  <si>
    <t>Cocina Orbis Mod. 594020, 55cm</t>
  </si>
  <si>
    <t>Electrobomba Rowa mod. 7/1</t>
  </si>
  <si>
    <t>Equipo Electromecanico 3/4 HP</t>
  </si>
  <si>
    <t>Estufa a Leños Gas 10.000 Kcal. Reforzado. Válvula Seguridad</t>
  </si>
  <si>
    <t>Estufa Pantalla Infrarroja 3000 Kcal c/Válvula de Seguridad</t>
  </si>
  <si>
    <t>Extintor Polvo ABC 5kg</t>
  </si>
  <si>
    <t>Extractor De Aire Hydra 250mm, Color Blanco</t>
  </si>
  <si>
    <t>Extractor De Cocina Ecoclima, mod. 111</t>
  </si>
  <si>
    <t>Extractor para Baño Ecoclima, mod. 321 (6´)</t>
  </si>
  <si>
    <t>Gabinete Para Pileta Vulcano VC20 Hasta 35.000 lts con Filtro, Bomba, Dosificador.</t>
  </si>
  <si>
    <t>Horno Longvi H1500G c/Grill Electrico. Grafito</t>
  </si>
  <si>
    <t>Horno Touch Longvie, H6900XT c/Ventilacion. Tang. Grill Electrico. Acero Inoxidable</t>
  </si>
  <si>
    <t>Kit Accesorios de Instalación para Piletas Vulcano. (Skimmer, Toma de Fondo, Virola y 3 Retornos)</t>
  </si>
  <si>
    <t>Kit Automatizacion Motor + Controles Porton Levadizo</t>
  </si>
  <si>
    <t>Kit Limpieza Pileta: Barrefondo, Manguera de 8mts y Acople.</t>
  </si>
  <si>
    <t>Limpia-Fondo para Pileta Vulcano.</t>
  </si>
  <si>
    <t>Mango Telescópico Bestway 58279 de 32mm hasta 3,60 mts.</t>
  </si>
  <si>
    <t>Parrilla Premoldeado Argentina de 1,45mts, Herraje Doble Reforzada.</t>
  </si>
  <si>
    <t>Sin materiales</t>
  </si>
  <si>
    <t>Global</t>
  </si>
  <si>
    <t>Termotanque Orbis 20.000 c/h, Mod. 220 TDO</t>
  </si>
  <si>
    <t>Termotanque Orbis Residencial 130 L, Multigas</t>
  </si>
  <si>
    <t>Termotanque Orbis Residencial 80 L, Multigas</t>
  </si>
  <si>
    <t>Termotanque Saiar 80 lts. Multigas de Pie. Salida Superior</t>
  </si>
  <si>
    <t>Turboaspirador ASPID, Mod. 200, 8 M3/min.</t>
  </si>
  <si>
    <t>Ventilador de Techo Protalia 3019, 4 Paletas de Madera Color Nogal, Sin Luces</t>
  </si>
  <si>
    <t>Herrajes</t>
  </si>
  <si>
    <t>Bisagra Euro 35mm</t>
  </si>
  <si>
    <t>Cerraduras Acytra de Seguridad 101 F/Niquel p/Embutir</t>
  </si>
  <si>
    <t>Correderas Eurohard BCA 500mm (Par)</t>
  </si>
  <si>
    <t>Doble Balancin Toshi mod. Bastón Acero Inoxidable</t>
  </si>
  <si>
    <t>Kit Classic Frente Placard 2,00 x 2,60mts (Dos Hojas)</t>
  </si>
  <si>
    <t>Kit Ruedas Superior Portón Corredizo Estabilizador (Par)</t>
  </si>
  <si>
    <t>Manija Curva 128 mm Cromo Mate</t>
  </si>
  <si>
    <t>Miradores Todo Vision 190° Bronce Platil</t>
  </si>
  <si>
    <t>Piston a Gas de 60N</t>
  </si>
  <si>
    <t>Rueda V de Acero para Porton Corredizo 50mm con Ruleman Inomax</t>
  </si>
  <si>
    <t>Herramientas (Ventas)</t>
  </si>
  <si>
    <t>Andamio reforzado (cuerpo) 1.30 x 2.50 x 1.80</t>
  </si>
  <si>
    <t>Balde Albañil Plástico, Reforzado</t>
  </si>
  <si>
    <t>Carretilla Ropal Metálica c/Rueda PVC 75 lts.</t>
  </si>
  <si>
    <t>Carretilla Tramontina Metálica c/Rueda Neumática 65 Lts.</t>
  </si>
  <si>
    <t>Chocla Tiza Linea Entizada por 30 mts</t>
  </si>
  <si>
    <t>Cuchara de Albañil Gherardi n°7</t>
  </si>
  <si>
    <t>Guantes Moteados Pesados de Trabajo (par)</t>
  </si>
  <si>
    <t>Hilo de Albañil de Algodón 3,1mm x 250 mts. Crudo Macrame</t>
  </si>
  <si>
    <t>Hormigonera Blindada Deper 130 lts., c/Motor 3/4 HP</t>
  </si>
  <si>
    <t>Nivel de Mano Sola Plástico Profesional, 60 cm. (2 Burbujas)</t>
  </si>
  <si>
    <t>Pala Acero Forjado Gherardi, Ancha/Punta</t>
  </si>
  <si>
    <t>Pico Punta y Pala Gherardi, 3", c/Cabo</t>
  </si>
  <si>
    <t>Plomada Rottweiler 700 gr.</t>
  </si>
  <si>
    <t>Tablon Metalico p/Andamio Tubular 2,50 x 0.30</t>
  </si>
  <si>
    <t>Herramientas y Servicios (Alquiler)</t>
  </si>
  <si>
    <t>Andamio Reforzado (1 cuerpo) 1.30 x 2.50 x 1.80 - Alquiler por Mes</t>
  </si>
  <si>
    <t>Balancines (3m., Completos). Alquiler por Mes</t>
  </si>
  <si>
    <t>Baño Químico, Incluye 4 Limpiezas Mensuales. Alquiler por Mes</t>
  </si>
  <si>
    <t>Caballete Telescópicos (el Par). Alquiler por Mes</t>
  </si>
  <si>
    <t>Contenedor Chico (2m3)</t>
  </si>
  <si>
    <t>Contenedor Grande (5m3)</t>
  </si>
  <si>
    <t>Escalera de Aluminio Extensible, (de 4,50 a 9 mts.). Alquiler por Dia</t>
  </si>
  <si>
    <t>Martillo Demoler Eléctrico, 15 kg. Alquiler por 24hs</t>
  </si>
  <si>
    <t>Martillo Demoler Eléctrico, 20 kg. Alquiler por 24hs</t>
  </si>
  <si>
    <t>Martillo Demoler Eléctrico, 30 kg. Alquiler por 24hs</t>
  </si>
  <si>
    <t>Obrador. Alquiler por Mes</t>
  </si>
  <si>
    <t>Puntal Telescópico Metálico, (de 2,00 a 3,50 mts). Alquiler por Mes</t>
  </si>
  <si>
    <t>Tablón Metálico p/Andamio Tubular 2,50 x 0.30. Alquiler por Mes.</t>
  </si>
  <si>
    <t>Hierros, Mallas, Alambres, Tornillos, Clavos y Cercos.</t>
  </si>
  <si>
    <t>Alambre de Puas Galvanizado</t>
  </si>
  <si>
    <t xml:space="preserve">Alambre Galvanizado N°14 </t>
  </si>
  <si>
    <t>Alambre Negro Recocido N°14</t>
  </si>
  <si>
    <t>Alambre Negro Recocido N°17</t>
  </si>
  <si>
    <t>Alambre Romboidal. Altura 1,50 Mts.</t>
  </si>
  <si>
    <t>Alambre Romboidal. Altura 1,80 Mts.</t>
  </si>
  <si>
    <t>Angulo Hierro 2 1/4´ x 3/16´</t>
  </si>
  <si>
    <t>Baranda Pasamanos de Acero Inoxidable c/Dos Soportes. (Diámetro 50mm)</t>
  </si>
  <si>
    <t>Base Armalogic, 50 x 70 cm, 5 Barras del 10mm</t>
  </si>
  <si>
    <t>Brasero Leñero Fogonero. 25x41x25. Hierro de 10mm.</t>
  </si>
  <si>
    <t>Bulón Cabeza Redonda, Cuello Cuadrado de Hierro Zincado c/Tuerca Hexagonal 5/16 x 2´</t>
  </si>
  <si>
    <t>Cable de Acero Inoxidable de 4mm</t>
  </si>
  <si>
    <t>Cartel de Obra en Chapa N°24 Bastidor de 1x2</t>
  </si>
  <si>
    <t>Clavo 9¨25 (Sin Cabeza)</t>
  </si>
  <si>
    <t>Clavo de Cobre 1 1/2´ para Tejas</t>
  </si>
  <si>
    <t>Clavos Punta Paris 1 1/2´´</t>
  </si>
  <si>
    <t>Clavos Punta Paris 2´´</t>
  </si>
  <si>
    <t>Clavos Punta Paris 3´´ / 4´´</t>
  </si>
  <si>
    <t>Clavos Techo 3´´ Acindar, 100 unidades</t>
  </si>
  <si>
    <t>Gancho J Rosca 5/16 x 8 mas Tuerca y Arandela para Alambre Tejido</t>
  </si>
  <si>
    <t>Herraje para Parrilla Reforzado. Herraje Emparrillado para Amurar, en Hierro Angulo de 3mm, Estampado Enlozado con Módulos Desmontables. Medidas: 70 x 86.5cm. Medidas Útil de Parrilla: 60 x 79.5cm.</t>
  </si>
  <si>
    <t>Hierro Torsionado del 10 mm</t>
  </si>
  <si>
    <t>Hierro Torsionado del 12 mm</t>
  </si>
  <si>
    <t>Hierro Torsionado del 16 mm</t>
  </si>
  <si>
    <t>Hierro Torsionado del 20 mm</t>
  </si>
  <si>
    <t>Hierro Torsionado del 25 mm</t>
  </si>
  <si>
    <t>Hierro Torsionado del 4,2 mm</t>
  </si>
  <si>
    <t>Hierro Torsionado del 6 mm</t>
  </si>
  <si>
    <t>Hierro Torsionado del 8 mm</t>
  </si>
  <si>
    <t>Malla de Alambre Electrosoldado 50x50x1,2</t>
  </si>
  <si>
    <t>Malla de Nylon, Forma Romboidal</t>
  </si>
  <si>
    <t>Malla Sima R131 15x25x5mm Q84 de 2,40 x 6,00 mts</t>
  </si>
  <si>
    <t>Malla Soldada Acindar 15x15, 2,00 x 6,00 m, 4,2 mm</t>
  </si>
  <si>
    <t>Malla Soldada Acindar 15x25, 2,00 x 3,00, 4mm (6 m2)</t>
  </si>
  <si>
    <t>Malla Soldada Acindar 15x25, 2,00 x 5,00, 6mm (10 m2)</t>
  </si>
  <si>
    <t>Malla Soldada Acindar 15x25, 2,00 x 6,00 m, 4,2 mm (12 m2)</t>
  </si>
  <si>
    <t xml:space="preserve">Media Sombra </t>
  </si>
  <si>
    <t>Mensula de Pared de 180mm</t>
  </si>
  <si>
    <t>Metal Desplegado Mediano, Hoja 0,75 x 2,00 m</t>
  </si>
  <si>
    <t>Metal Desplegado Reforzado, Hoja 0,80 x 2,00 m</t>
  </si>
  <si>
    <t>Parrilla Fija Móvil con Hierro Negro y Sección Achuras. Medidas: 50 x 70cm.</t>
  </si>
  <si>
    <t>Pefil Aluminio Color A30 New</t>
  </si>
  <si>
    <t>Perfil Aluminio Color A30</t>
  </si>
  <si>
    <t>Perfil Aluminio Color Herrero</t>
  </si>
  <si>
    <t>Perfil Aluminio Color Modena</t>
  </si>
  <si>
    <t>Perfil C 140x60x2mm x12 mts.</t>
  </si>
  <si>
    <t>Perfil C 80x40x2mm x 12 mts.</t>
  </si>
  <si>
    <t>Perfil C Galvanizado 120x50x15 X 2mm</t>
  </si>
  <si>
    <t>Perfil C Galvanizado 60x40x15 X 1,6mm</t>
  </si>
  <si>
    <t>Perfil IPN 10 (8kg/m; 105 kg/Barra) Barra de 6,00 ml.</t>
  </si>
  <si>
    <t>Perfil IPN 10 x 4mts</t>
  </si>
  <si>
    <t>Perfil IPN 12 (14,8kg/m; 135 kg/Barra) Barra de 12,00 ml.</t>
  </si>
  <si>
    <t>Perfil IPN 16 (21,9kg/m; 217 kg/Barra) Barra de 12,00 ml.</t>
  </si>
  <si>
    <t>Perfil IPN 8 (6kg/m; 71 kg/Barra) Barra de 6,00 ml.</t>
  </si>
  <si>
    <t>Pitón Cerrado c/Tarugo 8mm.</t>
  </si>
  <si>
    <t>Planchuela Hierro 1´´x1/8´´x6m</t>
  </si>
  <si>
    <t>Planchuela Hierro 2´´x3/16´´x6m</t>
  </si>
  <si>
    <t>Portón Doble Hoja de Caño Estructural y Alambre Tejido. Reforzada con Pasador y Porta Candado. 3,00 x 1,80 mts.</t>
  </si>
  <si>
    <t>Poste de Hormigón. Alto 2,65 mts. + Codo 0,40 mts.</t>
  </si>
  <si>
    <t>Prensa Galvanizada de Cable de Acero de 4mm</t>
  </si>
  <si>
    <t>Puerta de Caño Estructural y Alambre Tejido. Reforzada con Pasador y Porta Candado. 0,90 x 1,80 mts.</t>
  </si>
  <si>
    <t>Puerta Tranquera de Madera Dura Guayubira Doble Hoja. 3,00 x 1,00 mts.</t>
  </si>
  <si>
    <t>Puerta Tranquera de Madera Dura Guayubira. 1,00 x 1,00 mts.</t>
  </si>
  <si>
    <t>Sist. de armaduras p/encadenados, 10x10 cm, 4 del 6 c/ estrib. 4,2 c/ 20 cm</t>
  </si>
  <si>
    <t>Sistema de Armaduras p/Encadenados, 10x10 cm, 4 del 10 c/Estribos 6 c/ 15 cm</t>
  </si>
  <si>
    <t>Sistema de Armaduras p/Encadenados, 10x10 cm, 4 del 8 c/ Estribos 4,2 c/ 15 cm</t>
  </si>
  <si>
    <t>Sistema de Armaduras p/Encadenados, 10x15 cm, 4 del 8 c/ Estribos 4,2 c/ 15 cm</t>
  </si>
  <si>
    <t>Sistemas de Armaduras p/Encadenados, 10x15 cm, 4 del 6 c/ Estribos 4,2 c/ 20 cm</t>
  </si>
  <si>
    <t>Soporte de Acero Inoxidable para Columna de Madera 3x3</t>
  </si>
  <si>
    <t>Soporte Hierro Negro p/Pasamanos de Madera 6 x 3 cm.</t>
  </si>
  <si>
    <t>Taco para Sanitario, Tornillo de Bronce y Buje de Plástico 22 x 80</t>
  </si>
  <si>
    <t>Tacos Spit nyl con Piton, TP 2/6, 25 unidades</t>
  </si>
  <si>
    <t>Tacos Spit nyl Tipo S6, 100 unidades</t>
  </si>
  <si>
    <t>Tacos Spit nyl Tipo S8, 100 unidades</t>
  </si>
  <si>
    <t>Tensor Galvanizado de Cable de Acero M6. (Ojo/Gancho)</t>
  </si>
  <si>
    <t>Tornillo Auto-Perforante c/Alas 8 x 11/2</t>
  </si>
  <si>
    <t>Tornillo Auto-Perforante c/Alas 8 x 11/4</t>
  </si>
  <si>
    <t>Tornillo Auto-Perforante para Madera 6 x 2 Negro.</t>
  </si>
  <si>
    <t>Tornillo Auto-Perforante Punta Aguja 14 x 2 1/2´ c/Arandela (Chapa a Madera)</t>
  </si>
  <si>
    <t>Tornillo Auto-Perforante Punta Mecha 14 x 2´ 1/2 c/Arandela (Chapa a Perfil)</t>
  </si>
  <si>
    <t>Tornillo Auto-Perforante T1 Punta Aguja 8 x 9/16</t>
  </si>
  <si>
    <t>Tornillo Auto-Perforante T1 Punta Mecha 8 x 9/16</t>
  </si>
  <si>
    <t>Tornillo Auto-Perforante T2 Punta Aguja 6 x 1</t>
  </si>
  <si>
    <t>Tornillo Auto-Perforante T2 Punta Aguja 6 x 1.</t>
  </si>
  <si>
    <t>Tornillo Auto-Perforante T2 Punta Mecha 6 x 1</t>
  </si>
  <si>
    <t>Tornillo Auto-Perforante T3 Punta Aguja 6 x 11/2</t>
  </si>
  <si>
    <t>Tornillo Auto-Perforante Tel Deck 8 x 1.1/2</t>
  </si>
  <si>
    <t>Tornillo c/Tarugo del 8 mm</t>
  </si>
  <si>
    <t>Torniqueta para Alambrado</t>
  </si>
  <si>
    <t>Tubo Estructural 100 x 40 x 2 mm</t>
  </si>
  <si>
    <t>Instalaciones de Gas y Reguladores</t>
  </si>
  <si>
    <t>Adhesivo Polyguard, 1/4 L</t>
  </si>
  <si>
    <t>Cañamo por 100grs.</t>
  </si>
  <si>
    <t>Conexión de Cobre para Estufas</t>
  </si>
  <si>
    <t>Conexión Dieléctrica Aluminio (Pilar) 1 1/4 H x 3/4 M</t>
  </si>
  <si>
    <t>Conexión Flexible para Calefactor, (20 a 30 cm.)</t>
  </si>
  <si>
    <t>Conexión para Cocina 1/2´, (30 cm.)</t>
  </si>
  <si>
    <t>Epoxi, Buje de Reducción 1´ a 3/4´</t>
  </si>
  <si>
    <t>Epoxi, Buje de Reducción 1´ x 1/2´</t>
  </si>
  <si>
    <t>Epoxi, Buje de Reducción 3/4´ a 1/2´</t>
  </si>
  <si>
    <t>Epoxi, Caño 1´ 6,40 m.</t>
  </si>
  <si>
    <t>Epoxi, Caño 1/2´ 6,40 m.</t>
  </si>
  <si>
    <t>Epoxi, Caño 3/4´ 6,40 m.</t>
  </si>
  <si>
    <t>Epoxi, Codo 1´ HH 90º</t>
  </si>
  <si>
    <t>Epoxi, Codo 1/2´ HH 90º</t>
  </si>
  <si>
    <t>Epoxi, Codo 3/4´ HH 90º</t>
  </si>
  <si>
    <t>Epoxi, Cupla 1´</t>
  </si>
  <si>
    <t>Epoxi, Cupla 1/2´</t>
  </si>
  <si>
    <t>Epoxi, Tapón Macho 1/2´</t>
  </si>
  <si>
    <t>Epoxi, Tapón Macho 3/4´</t>
  </si>
  <si>
    <t>Epoxi, Te 1´</t>
  </si>
  <si>
    <t>Epoxi, Te 1/2´</t>
  </si>
  <si>
    <t xml:space="preserve">Epoxi, Te 3/4´ </t>
  </si>
  <si>
    <t>Epoxi, Te de Reducción 1´ x 1/2´</t>
  </si>
  <si>
    <t>Epoxi, Te de Reducción 1´ x 3/4´</t>
  </si>
  <si>
    <t>Epoxi, Te de Reducción 3/4´ x 1/2´</t>
  </si>
  <si>
    <t>Gabinete 2 1/2 c/Puerta (grande) 58x60x20</t>
  </si>
  <si>
    <t>Gabinete p/Gas Aprobado 60x40, Puerta de Chapa</t>
  </si>
  <si>
    <t>Glicerina 500 grs.</t>
  </si>
  <si>
    <t>Gripper Recto Adaptador Gabinete, con Suncho</t>
  </si>
  <si>
    <t>Gripper Tee Derivación Domiciliaria, con Suncho</t>
  </si>
  <si>
    <t>Kit Conexión Flexible para Caldera (4 Flexible para Agua y 1 para Gas)</t>
  </si>
  <si>
    <t>Litargirio 500 grs.</t>
  </si>
  <si>
    <t>Llave de Paso Esférica para Gas de Bronce Alarsa, 3/4´, 4 bar</t>
  </si>
  <si>
    <t>Llave de Paso para Gas Alarsa de 1/2´</t>
  </si>
  <si>
    <t>Llave de Paso para Gas Alarsa de 3/4´</t>
  </si>
  <si>
    <t>Llave de Paso para Gas FV de 1/2´c/Campana</t>
  </si>
  <si>
    <t>Llave de Paso para Gas FV de 3/4´ c/Campana</t>
  </si>
  <si>
    <t>Malla de Advertencia, Ancho 0,15m</t>
  </si>
  <si>
    <t>Nicho p/Medidor de Gas 40x50 c/Puerta Chapa</t>
  </si>
  <si>
    <t>Puerta Gas 40x50, Reglamentaria</t>
  </si>
  <si>
    <t>Regulador para Gas Envasado c/Flexible Galea. Tubo 45Kg.</t>
  </si>
  <si>
    <t>Regulador para Gas Natural Galea 6M3 c/Flexible.</t>
  </si>
  <si>
    <t>Regulador para Gas Natural Sigas Bx6M3 c/Flexible.</t>
  </si>
  <si>
    <t>Rejilla p/ Ventilación 15x15 Aprobada, Esmaltada</t>
  </si>
  <si>
    <t>Rejilla p/Ventilación 15x15 Aprobada, Acero Inoxidable</t>
  </si>
  <si>
    <t>Rejilla p/Ventilación 20x20 Aprobada, Acero Inoxidable</t>
  </si>
  <si>
    <t>Rollo Polyguard 5cm x 10 m</t>
  </si>
  <si>
    <t>Sellador para Conexiones de Gas Parsecs x 125ml</t>
  </si>
  <si>
    <t>Sigas Th, Codo 90° 25mm x 1/2´ H</t>
  </si>
  <si>
    <t>Sigas Th, Codo 90° 32mm x 3/4´ H</t>
  </si>
  <si>
    <t>Sigas Th, Codo 90º 20mm</t>
  </si>
  <si>
    <t>Sigas Th, Codo 90º 20mm x 1/2´ H</t>
  </si>
  <si>
    <t>Sigas Th, Codo 90º 25mm</t>
  </si>
  <si>
    <t>Sigas Th, Codo 90º 25mm x 3/4´ H</t>
  </si>
  <si>
    <t>Sigas Th, Codo 90º 32mm</t>
  </si>
  <si>
    <t>Sigas Th, Codo 90º 32mm x 1´ H</t>
  </si>
  <si>
    <t>Sigas Th, Cupla Reducción 25x20mm</t>
  </si>
  <si>
    <t>Sigas Th, Cupla Reducción 32mm x 20mm</t>
  </si>
  <si>
    <t>Sigas Th, Cupla Reducción 32x25mm</t>
  </si>
  <si>
    <t>Sigas Th, Tee 25mm</t>
  </si>
  <si>
    <t>Sigas Th, Tee c/Reducción Centro de 25mm x 20mm</t>
  </si>
  <si>
    <t>Sigas Th, Tee c/Reducción Centro de 32mm x 20mm</t>
  </si>
  <si>
    <t>Sigas Th, Tee c/Reducción Centro de 32mm x 25mm</t>
  </si>
  <si>
    <t>Sigas Th, Tubo de 20mm</t>
  </si>
  <si>
    <t>Sigas Th, Tubo de 25mm</t>
  </si>
  <si>
    <t>Sigas Th, Tubo de 32mm</t>
  </si>
  <si>
    <t>Sigas Th, Unión Normal de 20mm</t>
  </si>
  <si>
    <t>Sigas Th, Unión Normal de 25mm</t>
  </si>
  <si>
    <t>Sigas Th, Unión normal de 32m</t>
  </si>
  <si>
    <t>Sigas Th, Válvula Esférica de 20mm</t>
  </si>
  <si>
    <t>Sigas Th, Válvula Esférica de 25mm</t>
  </si>
  <si>
    <t>Sigas Th, Válvula Esférica de 32mm</t>
  </si>
  <si>
    <t>Teflón Alta Densidad de 1/2 x 12mts</t>
  </si>
  <si>
    <t>Teflón Alta Densidad de 3/4 x 12mts</t>
  </si>
  <si>
    <t>Instalaciones Eléctricas</t>
  </si>
  <si>
    <t>Antena Plana Parrilla TV Led UHF Digital TDA HD Reforzada</t>
  </si>
  <si>
    <t>Automático de Tanque c/Tanza F600 Fibosa</t>
  </si>
  <si>
    <t>Automático Flotante de Tanque Interruptor Blindado Fibosa 1.5mts</t>
  </si>
  <si>
    <t>Automático Pasillo, Escalera. 1000w Indarg Fabric</t>
  </si>
  <si>
    <t>Bandeja Galvanizada Perforada 100x50mm x 3mts</t>
  </si>
  <si>
    <t>Base Portafusible Unipolar NH 160 Amp.Tam.:00 TBCin</t>
  </si>
  <si>
    <t>Bastidor Mignon Tapa Bauhaus-Gris</t>
  </si>
  <si>
    <t>Bastidor Rectangular Siglo XXII</t>
  </si>
  <si>
    <t>Bastidor Universal 3 Modulos 5x10 Tapa Bauhaus</t>
  </si>
  <si>
    <t>Bastidor universal 3 Modulos 5x10. Cambre</t>
  </si>
  <si>
    <t>Bastidor Universal 3 Modulos 5x10. Kalop</t>
  </si>
  <si>
    <t>Cable Coaxil 75 ohms c/Pantalla de Aluminio, (Rg-6 Foan)</t>
  </si>
  <si>
    <t>Cable Desnudo 1x35mm (19 Hilos) Normalizado Iram Cobre</t>
  </si>
  <si>
    <t>Cable Desnudo 1x50mm (19Hilos) Normalizado Iram Cobre</t>
  </si>
  <si>
    <t>Cable Desnudo 1x70mm (19 Hilos) Normalizado Iram Cobre</t>
  </si>
  <si>
    <t>Cable Subterráneo 2x1.5mm. Newflex</t>
  </si>
  <si>
    <t>Cable Subterráneo 2x2.5mm. Newflex</t>
  </si>
  <si>
    <t>Cable Subterráneo 2x4mm. Newflex</t>
  </si>
  <si>
    <t>Cable Telefónico 4 Pares+N. Signotel</t>
  </si>
  <si>
    <t>Cable Teléfono 1 Par, Vaina Aluminio. Signotel</t>
  </si>
  <si>
    <t>Cable TPR 2x4mm. Kalop</t>
  </si>
  <si>
    <t>Cable TPR 3x2.5mm. Kalop</t>
  </si>
  <si>
    <t>Cable Unipolar 1x35mm. Pirelli</t>
  </si>
  <si>
    <t>Cable Unipolar 1x50mm. Pirelli</t>
  </si>
  <si>
    <t>Cable Unipolar 1x70mm. Pirelli</t>
  </si>
  <si>
    <t>Cable Unipolar Flexible 1.5mm x 100mts. Pirelli</t>
  </si>
  <si>
    <t>Cable Unipolar Flexible 2.5mm x 100mts. Pirelli</t>
  </si>
  <si>
    <t>Cable Unipolar Flexible 4mm x 100mts. Pirelli</t>
  </si>
  <si>
    <t>Cable Unipolar Flexible Kalop 1 x 0,50 mm2</t>
  </si>
  <si>
    <t>Cable Unipolar Flexible Kalop 1 x 1 mm2</t>
  </si>
  <si>
    <t>Cable Unipolar Flexible kalop 1 x 1,5 mm2</t>
  </si>
  <si>
    <t>Cable Unipolar Flexible Kalop 1 x 10 mm2</t>
  </si>
  <si>
    <t>Cable Unipolar Flexible kalop 1 x 2,5 mm2</t>
  </si>
  <si>
    <t>Cable Unipolar Flexible Kalop 1 x 4 mm2</t>
  </si>
  <si>
    <t>Cable Unipolar Flexible Kalop 1 x 6 mm2</t>
  </si>
  <si>
    <t>Cable UTP Categoría 5e Exterior 2 Pares</t>
  </si>
  <si>
    <t>Caja 5x10 Acero Liviano, 9 De Julio</t>
  </si>
  <si>
    <t>Caja 5x10 PVC, Tableplast</t>
  </si>
  <si>
    <t>Caja 5x5 Acero Liviano, 9 De Julio</t>
  </si>
  <si>
    <t>Caja de Medidor Monofásico, Reglamentaria</t>
  </si>
  <si>
    <t>Caja de Medidor Trifásico, Reglamentaria</t>
  </si>
  <si>
    <t>Caja Derivación PVC 10x10x8 cm. c/Tapa, Romax</t>
  </si>
  <si>
    <t>Caja Derivación PVC 15x15x8 cm. c/Tapa, Romax</t>
  </si>
  <si>
    <t>Caja Inspección p/Jabalina 150x150mm (PVC), Genrod</t>
  </si>
  <si>
    <t>Caja Llave Térmica Embutir PVC, 1 a 4 Bocas, Emanal</t>
  </si>
  <si>
    <t>Caja Octogonal Acero Liviano (Chica), 9 De Julio</t>
  </si>
  <si>
    <t>Caja Octogonal Acero Liviano (Grande), 9 De Julio</t>
  </si>
  <si>
    <t>Caja Octogonal PVC Genrod</t>
  </si>
  <si>
    <t>Caja p/TM IP40 12 B Emb. c/Puerta Fume. Luxury</t>
  </si>
  <si>
    <t>Caja p/TM IP40 18 B Emb. c/Puerta Fume. Luxury</t>
  </si>
  <si>
    <t>Caja p/TM IP40 24 B Emb. c/Puerta Fume. Luxury</t>
  </si>
  <si>
    <t>Caja p/TM IP40 4 B Emb. c/Puerta Fume. Luxury</t>
  </si>
  <si>
    <t>Caja p/TM IP40 8 B Emb. c/Puerta Fume. Luxury</t>
  </si>
  <si>
    <t>Caja Rectangular PVC 5X10 Genrod</t>
  </si>
  <si>
    <t>Caja Tablero 10 Módulos Embutir PVC T. Fume. Roker</t>
  </si>
  <si>
    <t>Caja Tablero 12 Módulos Embutir PVC. P. Fume. Schneider</t>
  </si>
  <si>
    <t>Caja Tablero 18 Módulos Embutir PVC T. Fume. Roker</t>
  </si>
  <si>
    <t>Caja Tablero 4 Módulos Exterior PVC c/Tapa transparente. Variplast</t>
  </si>
  <si>
    <t>Campanilla Timbre 12v 220 MJK Modelo 494</t>
  </si>
  <si>
    <t>Caño Acero Liviano 1´ GC</t>
  </si>
  <si>
    <t>Caño Acero Liviano 3/4´ GC</t>
  </si>
  <si>
    <t>Caño Acero Liviano 5/8´ GC</t>
  </si>
  <si>
    <t>Caño Acero Liviano 7/8´ GC</t>
  </si>
  <si>
    <t>Caño Acero Semipesado 1´ GC</t>
  </si>
  <si>
    <t>Caño Acero Semipesado 3/4´GC</t>
  </si>
  <si>
    <t>Caño Acero Semipesado 5/8´ GC</t>
  </si>
  <si>
    <t>Caño Acero Semipesado 7/8´ GC</t>
  </si>
  <si>
    <t>Caño Bajada 11/4´ 3000mm Reglamentario (Doble Aislacion) GC</t>
  </si>
  <si>
    <t>Caño Corrugado Blanco, 25mts x 3/4´ Pesado, Genrod</t>
  </si>
  <si>
    <t>Caño Flexible Corrugado Ignifugo PVC Blanco 3/4", Inbi</t>
  </si>
  <si>
    <t>Caño Flexible Corrugado, Económico 3/4´, Strada</t>
  </si>
  <si>
    <t>Caño Flexible, Linea Pesada, de 1´. Genrod</t>
  </si>
  <si>
    <t>Caño Flexible, Linea Pesada, de 3/4´. Genrod</t>
  </si>
  <si>
    <t>Caño Flexible, Linea Pesada, de 5/8´. Genrod</t>
  </si>
  <si>
    <t>Caño Flexible, Linea Pesada, de 7/8´. Genrod</t>
  </si>
  <si>
    <t>Caño Rígido PVC 7/8" (Blanco) Genrod</t>
  </si>
  <si>
    <t>Cerradura Electrica 12VCC/A, Tebas, Modelo DG</t>
  </si>
  <si>
    <t>Cinta Aisladora PVC de 10 mts x 19mm, Tacsa</t>
  </si>
  <si>
    <t>Colgante Redondo Negro 1xE27 c/Agujeros</t>
  </si>
  <si>
    <t>Conectores de Hierro de 1´</t>
  </si>
  <si>
    <t>Conectores de Hierro de 2´</t>
  </si>
  <si>
    <t>Conectores de Hierro de 3/4´</t>
  </si>
  <si>
    <t>Conectores de Hierro de 5/8´</t>
  </si>
  <si>
    <t>Conmutador Levas (L32/0) 3x32A (Emb) Fte PVC</t>
  </si>
  <si>
    <t>Cuplas o Uniones a Presión de Hierro 1´</t>
  </si>
  <si>
    <t>Cuplas o Uniones a Presión de Hierro 2´</t>
  </si>
  <si>
    <t>Cuplas o Uniones a Presión de Hierro 3/4´</t>
  </si>
  <si>
    <t>Cuplas o Uniones a Presión de Hierro 5/8´</t>
  </si>
  <si>
    <t>Detector de Monoxido de Carbono SICA</t>
  </si>
  <si>
    <t>Disyuntor Diferencial 2x25A 3kA (30mA) DIN Sica</t>
  </si>
  <si>
    <t>Disyuntor Diferencial 2x40A 3kA (30mA) DIN Sica</t>
  </si>
  <si>
    <t>Disyuntor Diferencial 2x63A 3kA (30mA) DIN Sica</t>
  </si>
  <si>
    <t>Disyuntor Diferencial 4x40A 3kA (30mA) DIN Sica</t>
  </si>
  <si>
    <t>Disyuntor Diferencial Acti9 ilD P4 80A Tipo AC 30mA Sica</t>
  </si>
  <si>
    <t>Fusible NH 80 AMP.TAm.:00</t>
  </si>
  <si>
    <t>Gancho p/Centro</t>
  </si>
  <si>
    <t>Indicador Luminoso (Rojo)</t>
  </si>
  <si>
    <t>Jabalina Acoplable 3/4" x 1,50 mts. (Normalizada)</t>
  </si>
  <si>
    <t>Kit Alarma casa X-28 Inalámbrica Domiciliaria 2 Zonas</t>
  </si>
  <si>
    <t>Kit Alarma casa X-28 Inalámbrica Domiciliaria 4 Zonas</t>
  </si>
  <si>
    <t>Kit Alarma casa X-28 Inalámbrica Domiciliaria 8 Zonas</t>
  </si>
  <si>
    <t>Kit CCTV Seguridad LCD de 7´ Color + 1 cámara Infraroja + 15 mts. Cable Color Negro.  HiLook</t>
  </si>
  <si>
    <t>Kit Jabalina de 1,50 m. de Long., 1/2´ + Caja y Tomacable</t>
  </si>
  <si>
    <t>Kit Pilar Medicion Monofasico</t>
  </si>
  <si>
    <t>Kit Pilar Medicion Trifasico</t>
  </si>
  <si>
    <t>Lampara Led 10w = 75w. Sica</t>
  </si>
  <si>
    <t>Llave Armada de 1 Punto y Toma. Kalop Civil</t>
  </si>
  <si>
    <t>Llave de Combinación y Toma. Kalop Civil</t>
  </si>
  <si>
    <t>Llave de tomacorriente Doble, Exterior c/Tapa) Kalop</t>
  </si>
  <si>
    <t>Llave Inversora para Cortina Monofásica. Llga Modelo 16</t>
  </si>
  <si>
    <t>Llave Térmica 4.5KA "C" DIN 1x10 AMP. Siemens</t>
  </si>
  <si>
    <t>Llave Térmica 4.5KA "C" DIN 1x32 AMP. Siemens</t>
  </si>
  <si>
    <t>Llave Térmica 4.5KA "C" DIN 1x4 AMP. Siemens</t>
  </si>
  <si>
    <t>Llave Térmica 4.5KA "C" DIN 1x63 AMP. Siemens</t>
  </si>
  <si>
    <t>Llave Térmica 4.5KA "C" DIN 2x10 AMP. Siemens</t>
  </si>
  <si>
    <t>Llave Térmica 4.5KA "C" DIN 2x16 AMP. Siemens</t>
  </si>
  <si>
    <t>Llave Térmica 4.5KA "C" DIN 2x20 AMP. Siemens</t>
  </si>
  <si>
    <t>Llave Térmica 4.5KA "C" DIN 2x25 AMP. Siemens</t>
  </si>
  <si>
    <t>Llave Térmica 4.5KA "C" DIN 2x40 AMP. Siemens</t>
  </si>
  <si>
    <t>Llave Térmica 4.5KA "C" DIN 2x50 AMP. Siemens</t>
  </si>
  <si>
    <t>Llave Térmica 4.5KA "C" DIN 2x63 AMP. Siemens</t>
  </si>
  <si>
    <t>Llave Térmica 4.5KA "C" DIN 2x80 AMP. Siemens</t>
  </si>
  <si>
    <t>Llave Térmica 4.5KA "C" DIN 3x32 AMP. Siemens</t>
  </si>
  <si>
    <t>Luz de Emergencia Atomlux 60 Leds (12hs)</t>
  </si>
  <si>
    <t>Luz de Emergencia Industrial Atomlux 2x60 Leds</t>
  </si>
  <si>
    <t>Modulo 1 Punto Cambre SXXII</t>
  </si>
  <si>
    <t>Modulo 1 Toma Bipolar c/tierra 20A Blanco Cambre SXXII</t>
  </si>
  <si>
    <t>Modulo 2 Tomas Bipolar c/tierra 10A Blanco Cambre SXXII</t>
  </si>
  <si>
    <t>Modulo Combinación, Tecla Cuadruple-Gris Cambre SXXII</t>
  </si>
  <si>
    <t>Modulo Llave de 1 Punto Combinada. Kalop</t>
  </si>
  <si>
    <t>Modulo Llave de 2 Puntos Combinada. kalop</t>
  </si>
  <si>
    <t>Modulo Llave de 2 Puntos. kalop</t>
  </si>
  <si>
    <t>Modulo Llave de 3 Puntos. Kalop</t>
  </si>
  <si>
    <t>Modulo Llave Tecla 1 Punto. Kalop</t>
  </si>
  <si>
    <t>Modulo Llave Tecla Combinada. Kalop</t>
  </si>
  <si>
    <t>Modulo Pulsador Timbre. Kalop</t>
  </si>
  <si>
    <t>Modulo Tapa. Kalop</t>
  </si>
  <si>
    <t>Modulo Teléfono Americano - 4PIN. Kalop</t>
  </si>
  <si>
    <t>Modulo Teléfono. Kalop</t>
  </si>
  <si>
    <t>Modulo Toma TV, 75 ohms. Kalop</t>
  </si>
  <si>
    <t>Modulo Toma. Kalop</t>
  </si>
  <si>
    <t>Modulo Video Cable, Universal c/Rosca-Blanco. Kalop</t>
  </si>
  <si>
    <t>Morseto Jabalina 1/2´</t>
  </si>
  <si>
    <t>PE Clasico Completo</t>
  </si>
  <si>
    <t>Pipeta Curva para Caño Pilar 1 1/2</t>
  </si>
  <si>
    <t>Plafón Panel Led Cuadrado 12w SICA (Luz Cálido/Frio)</t>
  </si>
  <si>
    <t>Plafón Panel Led Cuadrado 18w SICA (Luz Cálido/Frio)</t>
  </si>
  <si>
    <t>Plafón Panel Led Cuadrado 24w SICA (Luz Cálido/Frio)</t>
  </si>
  <si>
    <t>Portalampara c/Chicote</t>
  </si>
  <si>
    <t>Portero Eléctrico Commax Individual Completo, LCD 7" c/3 Visores Cdv70m</t>
  </si>
  <si>
    <t>Portero Eléctrico Commax Individual p/Embutir</t>
  </si>
  <si>
    <t xml:space="preserve">Portero eléctrico Commax para 20 departamentos, (20 pulsadores + 20 teléfonos + Fuente) </t>
  </si>
  <si>
    <t>Portero eléctrico Commax para 40 departamentos, (40 pulsadores + 40 teléfonos + Fuente)</t>
  </si>
  <si>
    <t>Prensacable r/Elec. ppl. x 2 c/Tuerca 37/44</t>
  </si>
  <si>
    <t>Pulsador Timbre Redondo 9 (Acero Inoxidable y Bronce)</t>
  </si>
  <si>
    <t>S22 Tapa Bauhaus-Gris 5x5, 2 modulos</t>
  </si>
  <si>
    <t>Sensor Detector de Humo X-28 DS 106w</t>
  </si>
  <si>
    <t>Set Video Portero LCD Led 4,3" Color Commax Frente Antivandálico Cámara Exterior Cdv43k</t>
  </si>
  <si>
    <t>Soporte Riel DIN Simétrico</t>
  </si>
  <si>
    <t>Superficial Led Cuadrado 24W BC</t>
  </si>
  <si>
    <t>Tapa 1 Modulo Cambre SXXII</t>
  </si>
  <si>
    <t>Tapa 2 Módulos Siglo XXII Blanca</t>
  </si>
  <si>
    <t>Tapa Bastidor 5x10, Blanco. Terminación. Kalop Civil</t>
  </si>
  <si>
    <t>Tapa Mignon Blanco Siglo XXII</t>
  </si>
  <si>
    <t>Tapa para Bandeja Pervorada de 100mmx3 mts</t>
  </si>
  <si>
    <t>Tapa y Distanciador Bauhaus-Gris</t>
  </si>
  <si>
    <t>Teléfono Portero Conmax para Kit DP-201 Ra Hz</t>
  </si>
  <si>
    <t>Toma Base Industrial 2x32 AMP. con Neutro Kalop</t>
  </si>
  <si>
    <t>Zumbador Compacto Romi Exterior (5x10) 220/12VCA</t>
  </si>
  <si>
    <t>Instalaciones Sanitarias (Agua)</t>
  </si>
  <si>
    <t>Acqua System, Buje Reducción 25 x 20mm</t>
  </si>
  <si>
    <t>Acqua System, Buje Reducción 40 x 25mm</t>
  </si>
  <si>
    <t>Acqua System, Codo a 45° de 25 Mm</t>
  </si>
  <si>
    <t>Acqua System, Codo a 90, Rosca Hembra 25 x 3/4¨</t>
  </si>
  <si>
    <t>Acqua System, Codo a 90, Rosca Hembra 32 x 3/4¨</t>
  </si>
  <si>
    <t>Acqua System, Codo a 90º, Rosca Hembra 20 x 1/2´</t>
  </si>
  <si>
    <t>Acqua System, Codo Normal a 90° de 25mm</t>
  </si>
  <si>
    <t>Acqua System, Codo Normal a 90° de 32mm</t>
  </si>
  <si>
    <t>Acqua System, Codo Normal a 90º de 20mm</t>
  </si>
  <si>
    <t>Acqua System, Codo Normal a 90º de 40mm</t>
  </si>
  <si>
    <t>Acqua System, Curva Sobrepaso 20mm</t>
  </si>
  <si>
    <t>Acqua System, Llave de Paso Total c/Cabezal de Polímero Bronce 20mm</t>
  </si>
  <si>
    <t>Acqua System, Llave de Paso Total c/Cabezal de Polímero Bronce 25mm</t>
  </si>
  <si>
    <t>Acqua System, Sellador de Roscas 125 cc.</t>
  </si>
  <si>
    <t>Acqua System, Sellador de Roscas 50 cc.</t>
  </si>
  <si>
    <t>Acqua System, Tee Normal de 20mm</t>
  </si>
  <si>
    <t>Acqua System, Tee Normal de 40mm</t>
  </si>
  <si>
    <t>Acqua System, Tee Reducción Centro 25 x 20mm</t>
  </si>
  <si>
    <t>Acqua System, Tee Reducción Centro 32 x 20mm</t>
  </si>
  <si>
    <t>Acqua System, Tubo Hembra 20 x 1/2</t>
  </si>
  <si>
    <t>Acqua System, Tubo Hembra 20 x 3/8´</t>
  </si>
  <si>
    <t>Acqua System, Tubo Macho 20 x 1/2´</t>
  </si>
  <si>
    <t>Acqua System, Tubo Macho 32 x 1´</t>
  </si>
  <si>
    <t>Acqua System, Tubo Macho 40 x 1 1/4´</t>
  </si>
  <si>
    <t>Acqua System, Tubo PN12 25mm</t>
  </si>
  <si>
    <t>Acqua System, Tubo PN12 32mm</t>
  </si>
  <si>
    <t>Acqua System, Tubo PN20 20mm</t>
  </si>
  <si>
    <t>Acqua System, Tubo PN20 25mm</t>
  </si>
  <si>
    <t>Acqua System, Tubo PN20 32mm</t>
  </si>
  <si>
    <t>Acqua System, Tubo PN20 40mm</t>
  </si>
  <si>
    <t>Acqua System, Tubo PN20 Acqua Luminum X-Treme 20mm</t>
  </si>
  <si>
    <t>Acqua System, Tubo PN20 Acqua Luminum X-Treme 25mm</t>
  </si>
  <si>
    <t>Acqua System, Tubo PN20 Acqua Luminum X-Treme 32mm</t>
  </si>
  <si>
    <t>Acqua System, Tubo Rosca Macho 20 x 1/2</t>
  </si>
  <si>
    <t>Acqua System, Tubo Rosca Macho 40 x 1 1/2</t>
  </si>
  <si>
    <t>Acqua System, Unión Doble de 20mm</t>
  </si>
  <si>
    <t>Acqua System, Unión Normal de 20mm</t>
  </si>
  <si>
    <t>Acqua System, Unión Normal de 25mm</t>
  </si>
  <si>
    <t>Acqua System, Unión Normal de 32mm</t>
  </si>
  <si>
    <t>Acqua System, Válvula Esférica c/Manija de 25mm</t>
  </si>
  <si>
    <t>Acqua System, Válvula Esférica c/Manija de 40mm</t>
  </si>
  <si>
    <t>Base para Tanque 850/1000 lts.</t>
  </si>
  <si>
    <t>Boca de Impulsión 2 1/2x63mm Piso c/Tapa 0.60 x 0.40</t>
  </si>
  <si>
    <t>Caja Plástica para Medidor de Agua</t>
  </si>
  <si>
    <t>Canilla de Servicio Metálica Esférica de 1/2</t>
  </si>
  <si>
    <t>Contra- Incendio, Manguera de 2 1/2 x 20 Sin Sello (20kg/cm2)</t>
  </si>
  <si>
    <t>Contra-Incendio, Lanza c/Boquilla Chorro Pleno 1 1/2</t>
  </si>
  <si>
    <t>Contra-Incendio, Válvula teatro 1 1/2</t>
  </si>
  <si>
    <t>Estanio al 33% Común, 100gr</t>
  </si>
  <si>
    <t>Estanio al 50% Común</t>
  </si>
  <si>
    <t>Flexible Agua Cobre Cromado de 1/2´ x 30cm. Chicote</t>
  </si>
  <si>
    <t>Flexible Agua Cobre Cromado de 3/4¨x 30cm. Chicote</t>
  </si>
  <si>
    <t>Flexible Mallado 1/2 x 30cm. Latyn</t>
  </si>
  <si>
    <t>Flotante 1/2 c/Válvula Rotoplas</t>
  </si>
  <si>
    <t>Flotante Alta Presión Tanque Bronce Regulable 1/2´ c/Boya.</t>
  </si>
  <si>
    <t>Flotante Alta Presión Tanque Bronce Regulable 3/4´c/Boya</t>
  </si>
  <si>
    <t>FV, Llave Esférica de Bronce para Agua, de 1/2´</t>
  </si>
  <si>
    <t>FV, Llave Esférica de Bronce para Agua, de 3/4´</t>
  </si>
  <si>
    <t>Galvanizados, Caño 1 1/2´, Tira 6,40m</t>
  </si>
  <si>
    <t>Galvanizados, Caño 1 1/4´, Tira 6,40m</t>
  </si>
  <si>
    <t>Galvanizados, Caño 1´, Tira 6,40m</t>
  </si>
  <si>
    <t>Galvanizados, Caño 1/2´, Tira 6,40m</t>
  </si>
  <si>
    <t>Galvanizados, Caño 2´, Tira 6,40m</t>
  </si>
  <si>
    <t>Galvanizados, Caño 3/4´, Tira 6,40m</t>
  </si>
  <si>
    <t>Galvanizados, Codo HH de 1/2´</t>
  </si>
  <si>
    <t>Galvanizados, Codo HH de 3/4´</t>
  </si>
  <si>
    <t>Galvanizados, Codo MH de 1/2´</t>
  </si>
  <si>
    <t>Galvanizados, Codo MH de 3/4´</t>
  </si>
  <si>
    <t>Galvanizados, Cupla 1/2´</t>
  </si>
  <si>
    <t>Galvanizados, Cupla 3/4´</t>
  </si>
  <si>
    <t>Galvanizados, Tee de 1/2´</t>
  </si>
  <si>
    <t>Galvanizados, Tee de 3/4´</t>
  </si>
  <si>
    <t>Galvanizados, Unión Doble 1/2´</t>
  </si>
  <si>
    <t>Galvanizados, Unión Doble 3/4´</t>
  </si>
  <si>
    <t>Hidrobronz, Caño Decker 1´ 25mm</t>
  </si>
  <si>
    <t>Hidrobronz, Caño Decker 1/2´ 13mm</t>
  </si>
  <si>
    <t>Hidrobronz, Caño Decker 3/4´ 19mm</t>
  </si>
  <si>
    <t>Hidrobronz, Caño Decker 5/8´ 9mm</t>
  </si>
  <si>
    <t>Hidrobronz, Cupla Normal Decker, Diámetro 13mm</t>
  </si>
  <si>
    <t>Hidrobronz, Cupla Normal Decker, Diámetro 19mm</t>
  </si>
  <si>
    <t>Hidrobronz, Cupla Reducción Decker, 19-13mm</t>
  </si>
  <si>
    <t>Hidrobronz, Curva Decker, Diámetro 13mm</t>
  </si>
  <si>
    <t>Hidrobronz, Curva Decker, Diámetro 19mm</t>
  </si>
  <si>
    <t>Hidrobronz, Tee Decker, Diametro 13mm</t>
  </si>
  <si>
    <t>Hidrobronz, Tee Decker, diámetro 25mm</t>
  </si>
  <si>
    <t>Hidrobronz, Tubo Macho/Hembra Decker Diámetro 13mm</t>
  </si>
  <si>
    <t>Industrias Saladillo Hidro3, Esférica de 32mm p/ext</t>
  </si>
  <si>
    <t>IPS Fusión, Codo 20 mm con Rosca Hembra, de 1´</t>
  </si>
  <si>
    <t>IPS Fusión, Codo Normal a 90, 20 mm de 1´</t>
  </si>
  <si>
    <t>IPS Fusión, Codo Normal a 90, 25 mm de 1´</t>
  </si>
  <si>
    <t>IPS Fusión, Tee Normal, 20 mm</t>
  </si>
  <si>
    <t>IPS Fusion, Tubo Bicapa, Tira de 4m. de 1´</t>
  </si>
  <si>
    <t>IPS Fusión, Tubo Macho, 20 x 1/2´</t>
  </si>
  <si>
    <t>IPS Fusión, Unión Normal, 20 mm de 1/2´</t>
  </si>
  <si>
    <t>IPS Fusión, Unión Normal, 25 mm de 1/2´</t>
  </si>
  <si>
    <t>IPS Fusión, Unión Normal, 32 mm de 1/2´</t>
  </si>
  <si>
    <t>IPS, Terraja PPN 1/2´, 3/4´ y 1´</t>
  </si>
  <si>
    <t>IPS, Tubo para Roscar 4x4, Tira 6 m, de 1 1/2´</t>
  </si>
  <si>
    <t>IPS, Tubo para Roscar 4x4, tira 6 m, de 1´</t>
  </si>
  <si>
    <t>IPS, Tubo para Roscar 4x4, tira 6 m, de 1/2´</t>
  </si>
  <si>
    <t>IPS, Tubo para Roscar 4x4, tira 6 m, de 2´</t>
  </si>
  <si>
    <t>Llave Maestra 19mm OSN</t>
  </si>
  <si>
    <t>Polimex, Colector Cruz p/Tanque 1x3/4 c/Bridas</t>
  </si>
  <si>
    <t>Polimex, PPP, Tapón Macho x 1/2</t>
  </si>
  <si>
    <t>Polimex, PPP, Tapón Macho x 3/4</t>
  </si>
  <si>
    <t>Rotoplas Cartucho p/Filtro</t>
  </si>
  <si>
    <t>Rotoplas Filtro p/Tanque</t>
  </si>
  <si>
    <t>Rotoplas Tanque 400 lts. Multicapa c/Flotante</t>
  </si>
  <si>
    <t>Rotoplas Tanque 850 lts. Multicapa c/Flotante</t>
  </si>
  <si>
    <t>Rotoplast Tanque 1.100 Lts Tricapa c/Flotante</t>
  </si>
  <si>
    <t>Rotoplast Tanque 600 Lts Tricapa c/Flotante</t>
  </si>
  <si>
    <t>Tanque 1000 lts. sin base (0.97 x 1.41) inox. Affinity</t>
  </si>
  <si>
    <t>Teflon de 1/2 x 10mts.</t>
  </si>
  <si>
    <t>Vaina Anticorte Curva y Recta PVC</t>
  </si>
  <si>
    <t>Valvula Retencion Multiple 3/4 PVC</t>
  </si>
  <si>
    <t>Ventilacion Plastica Tanque Reserva</t>
  </si>
  <si>
    <t>Instalaciones Sanitarias (Desagües)</t>
  </si>
  <si>
    <t>Aro Prolongador para Cámara de Inspección de PVC. (Alt. 10cm.) Tigre</t>
  </si>
  <si>
    <t>Base Cámara Inspección 60x60 Awacor (8859)</t>
  </si>
  <si>
    <t>Biodigestor Auto 1100 L + Cámara de Lodos + Encima PC3. Waterplast</t>
  </si>
  <si>
    <t>C.I. Cámara y Contratapa de Cemento Cloacal 60x60x30</t>
  </si>
  <si>
    <t>C.I. Marco y Tapa de Cemento Cloacal 60x60</t>
  </si>
  <si>
    <t>Cámara de Inspección de PVC 40x40 Cloacal/Pluvial. Tigre</t>
  </si>
  <si>
    <t>Cámara Séptica Plástica 5/7 personas s/filtro. Fortecam</t>
  </si>
  <si>
    <t>Cámara Séptica Polietileno Bicapa 600 litros (hasta/12 personas) Waterplast</t>
  </si>
  <si>
    <t>Cámara Séptica Premoldeada Cemento para 10 personas</t>
  </si>
  <si>
    <t>Caño PVC Tigre Ramat 3.2mm 110mm x 4mts</t>
  </si>
  <si>
    <t>Cojinete p/Cámara Inspección 3 ent. 118x118 Awacor (8857)</t>
  </si>
  <si>
    <t>Desengrasadora Siliconada Awacor (6070)</t>
  </si>
  <si>
    <t>Duratop X, Boca Desagüe De Balcón Vertical C/Salida 63mm</t>
  </si>
  <si>
    <t>Duratop X, Codo A 45 M-H 110mm Std</t>
  </si>
  <si>
    <t>Duratop X, Codo A 45 M-H 40mm Std</t>
  </si>
  <si>
    <t>Duratop X, Codo A 45 M-H 50mm Std</t>
  </si>
  <si>
    <t>Duratop X, Codo A 45 M-H 63mm Std</t>
  </si>
  <si>
    <t>Duratop X, Codo A 87 30´ H-H 40mm Std</t>
  </si>
  <si>
    <t>Duratop X, Codo A 87 30´ M-H 40mm Std</t>
  </si>
  <si>
    <t>Duratop X, Codo A 87 30´ M-H 50mm Std</t>
  </si>
  <si>
    <t>Duratop X, Codo A 87 30´ M-H 63mm Std</t>
  </si>
  <si>
    <t>Duratop X, Codo A 87 30´110x63mm C/Acom. Izquier. Std</t>
  </si>
  <si>
    <t>Duratop X, Codo A 87´30 M-H 110 Mm</t>
  </si>
  <si>
    <t>Duratop X, Codo A 87´30 M-H 40 Mm</t>
  </si>
  <si>
    <t>Duratop X, Codo A 87´30 M-H 50 Mm</t>
  </si>
  <si>
    <t>Duratop X, Codo Poliangular 40 Mm Std</t>
  </si>
  <si>
    <t>Duratop X, Codo Poliangular 63 Mm</t>
  </si>
  <si>
    <t>Duratop X, Cupla 40mm Std</t>
  </si>
  <si>
    <t>Duratop X, Cupla 50mm Std</t>
  </si>
  <si>
    <t>Duratop X, Cupla H-H 110mm</t>
  </si>
  <si>
    <t>Duratop X, Empalme De Acceso Horiz.C/Sal.63mm Entr. 50 Mm</t>
  </si>
  <si>
    <t>Duratop X, Marco Bce c/ Reja De Acero Inox. 8x8cm.</t>
  </si>
  <si>
    <t>Duratop X, Marco Bce C/Reja De Acero Inoxid. 12x12cm</t>
  </si>
  <si>
    <t>Duratop X, Marco Bce C/Tapa Acero Inoxid. 12x12cm</t>
  </si>
  <si>
    <t>Duratop X, Pileta De Patio Mod 110 C/ Sal. 63mm C/5 Entr. 40 Mm</t>
  </si>
  <si>
    <t>Duratop X, Portamarco Pileta De Patio 110 Mm Std</t>
  </si>
  <si>
    <t>Duratop X, Ramal Simple 87 30´110x110mm C/Vent Std</t>
  </si>
  <si>
    <t>Duratop X, Ramal Simple A 45 50 X 50mm Std</t>
  </si>
  <si>
    <t>Duratop X, Ramal Simple a 45´110mm</t>
  </si>
  <si>
    <t>Duratop X, Ramal Simple a 45´110x63mm</t>
  </si>
  <si>
    <t>Duratop X, Ramal Simple A 87 30´ 110-63mm Std</t>
  </si>
  <si>
    <t>Duratop X, Ramal Simple A 87 30´110x63mm C/Vent Std</t>
  </si>
  <si>
    <t>Duratop X, Receptáculo Horizontal de Ducha 40 Mm</t>
  </si>
  <si>
    <t>Duratop X, Reducción Concentrica de 63x50mm</t>
  </si>
  <si>
    <t>Duratop X, Sifón para Lavarropas/Lavavajillas</t>
  </si>
  <si>
    <t>Duratop X, Sombrerete 110 Mm</t>
  </si>
  <si>
    <t>Duratop X, Sopapa Universal a Codo p/Bañera</t>
  </si>
  <si>
    <t>Duratop X, Tapón Empalme De Acceso Hor/Vert 110 Mm Std</t>
  </si>
  <si>
    <t>Duratop X, Tubo 110 X 250 Mm</t>
  </si>
  <si>
    <t>Duratop X, Tubo 110 X 3000 Mm</t>
  </si>
  <si>
    <t>Duratop X, Tubo 110 X 4000 Mm</t>
  </si>
  <si>
    <t>Duratop X, Tubo 110 X 500 Mm</t>
  </si>
  <si>
    <t>Duratop X, Tubo 40 x 1000 Mm</t>
  </si>
  <si>
    <t>Duratop X, Tubo 40 x 1500 Mm</t>
  </si>
  <si>
    <t>Duratop X, Tubo 40 x 3000 Mn</t>
  </si>
  <si>
    <t>Duratop X, Tubo 40 X 4000 Mm</t>
  </si>
  <si>
    <t>Duratop X, Tubo 40 X 500 Mm</t>
  </si>
  <si>
    <t>Duratop X, Tubo 50 X 1000 Mm</t>
  </si>
  <si>
    <t>Duratop x, Tubo 50 x 2000 Mn</t>
  </si>
  <si>
    <t>Duratop X, Tubo 50 X 3000 Mm</t>
  </si>
  <si>
    <t>Duratop X, Tubo 50 X 500 Mm</t>
  </si>
  <si>
    <t>Duratop X, Tubo 63 X 1000 Mm</t>
  </si>
  <si>
    <t>Duratop X, Tubo 63 X 250 Mm</t>
  </si>
  <si>
    <t>Duratop X, Tubo 63 x 3000 Mm</t>
  </si>
  <si>
    <t>Duratop X, Tubo 63 X 500 Mm</t>
  </si>
  <si>
    <t>Duratop X, Tubo 63 X 750 Mm.</t>
  </si>
  <si>
    <t>Embudo Horizontal 110mm Reja 20x20 Awacor (4139)</t>
  </si>
  <si>
    <t>FV, Sopapa de Bañera c/Codo Cromo</t>
  </si>
  <si>
    <t>Hierro Fundido, Caño de 100 mm x 1000 mm x 4 mm</t>
  </si>
  <si>
    <t>Hierro Fundido, Caño de 100 mm x 3000 mm x 4 mm</t>
  </si>
  <si>
    <t>Hierro Fundido, Caño de 60 mm x 300 mm x 4 mm</t>
  </si>
  <si>
    <t>Marco y Tapa 60x60 Hormigón Premoldeado</t>
  </si>
  <si>
    <t>Sifón Cocina Doble Bacha Reforzado. Chicote</t>
  </si>
  <si>
    <t>Sifón Cocina Simple Bacha Reforzado. Chicote</t>
  </si>
  <si>
    <t>Tapa Chapa Reforzada p/Cámara 40x40</t>
  </si>
  <si>
    <t>Tapa Chapa Reforzada p/Cámara 60x60</t>
  </si>
  <si>
    <t>Tigre, Adhesivo para PVC, 100cm3</t>
  </si>
  <si>
    <t>Tigre, Adhesivo para PVC, 500cm3</t>
  </si>
  <si>
    <t>Tigre, Pileta de Patio 200mm, 3 Entradas, Reja PVC 20x20</t>
  </si>
  <si>
    <t>Tigre, PVC Gris Caño 50mm x 6,00 mts SD clase 10</t>
  </si>
  <si>
    <t>Tigre, PVC Gris Codo a 45° H-H 50 SD</t>
  </si>
  <si>
    <t>Tigre, PVC Gris Codo a 90° H-H 50 SD</t>
  </si>
  <si>
    <t>Tigre, PVC Gris Cupla 50 SD</t>
  </si>
  <si>
    <t>Tigre, PVC Gris Manguito Hembra 50x11/2 SD</t>
  </si>
  <si>
    <t>Tigre, PVC Gris Manguito Macho 50x11/2 SD</t>
  </si>
  <si>
    <t>Tigre, PVC Gris Tee 50 SD</t>
  </si>
  <si>
    <t>Tigre, PVC Reforzado, Cámara 4x4, con Tapa Roscada</t>
  </si>
  <si>
    <t>Tigre, PVC Reforzado, Caño de 2 1/2´ x 4 m</t>
  </si>
  <si>
    <t>Metro</t>
  </si>
  <si>
    <t>Tigre, PVC Reforzado, Caño de 4´ x 4 m</t>
  </si>
  <si>
    <t>Tigre, PVC Reforzado, Caño de Impacto, esp. 1.8mm., de 4´</t>
  </si>
  <si>
    <t>Tigre, PVC Reforzado, Caño de Impacto, esp. 3.2mm., Diámetro 40mm</t>
  </si>
  <si>
    <t>Tigre, PVC Reforzado, Caño de Ventilación, de 110 mm</t>
  </si>
  <si>
    <t>Tigre, PVC Reforzado, Codo a 90º Diámetro 110mm</t>
  </si>
  <si>
    <t>Tigre, PVC Reforzado, Codo a 90º Diámetro 40mm</t>
  </si>
  <si>
    <t>Tigre, PVC Reforzado, Codo a 90º Diametro 63mm</t>
  </si>
  <si>
    <t>Tigre, PVC Reforzado, Codo a 90º, Diámetro 63mm</t>
  </si>
  <si>
    <t>Tigre, PVC Reforzado, Codo con Base, 110 mm a 90º</t>
  </si>
  <si>
    <t>Tigre, PVC Reforzado, Codo sin Base, 110 mm a 90º</t>
  </si>
  <si>
    <t>Tigre, PVC Reforzado, Cupla Dilatadora de 110 mm</t>
  </si>
  <si>
    <t>Tigre, PVC Reforzado, Cupla Reducción 110 x 63</t>
  </si>
  <si>
    <t>Tigre, PVC Reforzado, Curva 110 x 110, a 45º</t>
  </si>
  <si>
    <t>Tigre, PVC Reforzado, Curva a 45º, Diámetro 40 mm</t>
  </si>
  <si>
    <t>Tigre, PVC Reforzado, Pileta de Patio Standard de 10 x 10</t>
  </si>
  <si>
    <t>Tigre, PVC Reforzado, Pileta de Patio Standard de 15 x 15</t>
  </si>
  <si>
    <t>Tigre, PVC Reforzado, Ramal 110 x 110 a 45°</t>
  </si>
  <si>
    <t>Tigre, PVC Reforzado, Ramal 110 x 63 a 45°</t>
  </si>
  <si>
    <t>Tigre, PVC Reforzado, Rejilla p/Pileta Patio de Acero 15 x 15</t>
  </si>
  <si>
    <t>Tigre, PVC Reforzado, Tapa H 110mm (3,2)</t>
  </si>
  <si>
    <t>Ladrillos y Bloques</t>
  </si>
  <si>
    <t>Bloque Corblock Símil Piedra 12,5x19x39</t>
  </si>
  <si>
    <t>Bloque Corblock Símil Piedra 19x19x39</t>
  </si>
  <si>
    <t>Bloques Corblock Std 19x19x39</t>
  </si>
  <si>
    <t>Bloques Corblock Std 9x19x39</t>
  </si>
  <si>
    <t>Ladrillo Común</t>
  </si>
  <si>
    <t>Ladrillo Común Vista</t>
  </si>
  <si>
    <t>Ladrillo Hueco 12x18x33 Loimar</t>
  </si>
  <si>
    <t>Ladrillo Hueco 12x18x33 Palmar</t>
  </si>
  <si>
    <t>Ladrillo Hueco 18x18x33 Loimar</t>
  </si>
  <si>
    <t>Ladrillo Hueco 18x18x33 Palmar</t>
  </si>
  <si>
    <t>Ladrillo Hueco 8x18x33 Loimar</t>
  </si>
  <si>
    <t>Ladrillo Hueco 8x18x33 Palmar</t>
  </si>
  <si>
    <t>Ladrillo Hueco p/Encadenado 12x18x33 Palmar</t>
  </si>
  <si>
    <t>Ladrillo Hueco p/Encadenado 18x18x33 Palmar</t>
  </si>
  <si>
    <t>Ladrillo Hueco Portante 12x19x33 Palmar</t>
  </si>
  <si>
    <t>Ladrillo Hueco Portante 18x19x33 Palmar</t>
  </si>
  <si>
    <t xml:space="preserve">Ladrillo RETAK ¨U¨ 50x25x15cm. </t>
  </si>
  <si>
    <t xml:space="preserve">Ladrillo RETAK ¨U¨ 50x25x17,5cm. </t>
  </si>
  <si>
    <t xml:space="preserve">Ladrillo RETAK ¨U¨ 50x25x20cm. </t>
  </si>
  <si>
    <t>Ladrillo RETAK 50x25x07,5cm. (No Portante)</t>
  </si>
  <si>
    <t>Ladrillo RETAK 50x25x10cm. (No Portante)</t>
  </si>
  <si>
    <t>Ladrillo RETAK 50x25x12,5cm. (No Portante)</t>
  </si>
  <si>
    <t>Ladrillo RETAK 50x25x15cm. (Portante)</t>
  </si>
  <si>
    <t>Ladrillo RETAK 50x25x17,5cm. (Portante)</t>
  </si>
  <si>
    <t>Ladrillo RETAK 50x25x20cm. (Portante)</t>
  </si>
  <si>
    <t>Ladrillo RETAK 50x25x25cm. (Portante)</t>
  </si>
  <si>
    <t>Ladrillon Común</t>
  </si>
  <si>
    <t>Ladrillon Común Vista</t>
  </si>
  <si>
    <t>Ladrillos de Vidrio sat. 0,19x0,19x0,08</t>
  </si>
  <si>
    <t>Refractario Esquinero Corto 15x6x2,5cm.</t>
  </si>
  <si>
    <t>Refractario Tejuela 11.5x23x2cm.</t>
  </si>
  <si>
    <t>Refractario Tejuela 32x11x2cm</t>
  </si>
  <si>
    <t>Maderas</t>
  </si>
  <si>
    <t>Aglomerado Enchapado Cedro, Esp. 19mm, 2,60x1,83</t>
  </si>
  <si>
    <t>Aglomerados Faplac de 1,83 x 2,75, esp. 15mm</t>
  </si>
  <si>
    <t>Aglomerados Faplac de 1,83 x 2,75, esp. 18mm</t>
  </si>
  <si>
    <t>Aglomerados Masisa Fibrofacil, esp. 15mm, 1,83 x 2,75</t>
  </si>
  <si>
    <t>Aglomerados Masisa Fibrofacil, esp. 18mm, 1,83 x 2,75</t>
  </si>
  <si>
    <t>Baranda Pasamanos de Pino 44x43 mm.</t>
  </si>
  <si>
    <t>Bulín Saligna 1/2x1</t>
  </si>
  <si>
    <t>Chapadur Plus Blanco 3mm 1,22x2,75 mts</t>
  </si>
  <si>
    <t>Contramarco Liso de Pino 1/2´x2´</t>
  </si>
  <si>
    <t>Deck de Guayubira 1"x4"</t>
  </si>
  <si>
    <t>Deck de Pino Grandis 1"x3"</t>
  </si>
  <si>
    <t>Encofrados, Tablas 1´x4´ Elliotis</t>
  </si>
  <si>
    <t>Encofrados, Tirantes 3´x3´ Álamo</t>
  </si>
  <si>
    <t>Encofrados, Tirantes 3´x3´ Elliotis</t>
  </si>
  <si>
    <t>Entablonado de Pino Elliotis 1/2"</t>
  </si>
  <si>
    <t>Entablonado de Saligna 1"x4"</t>
  </si>
  <si>
    <t>Escalón 25 x 90 x 4cm, Guayubira Cepillado</t>
  </si>
  <si>
    <t>Listón de 1"x4" Guayubira Cepillado</t>
  </si>
  <si>
    <t>Listón Pino Bruto 1´x11/2´(Yesero)</t>
  </si>
  <si>
    <t>Listón Pino Bruto 1´x2´(p/Tejas)</t>
  </si>
  <si>
    <t>Listón Pino Cepillado 1/2´x1´</t>
  </si>
  <si>
    <t>Listón Pino Cepillado 1/2´x11/2´</t>
  </si>
  <si>
    <t>Listón Pino Cepillado 1x3</t>
  </si>
  <si>
    <t>Listón Pino Paraná Cepillado 1"x4"</t>
  </si>
  <si>
    <t>Listón Saligna Bruto 1"x1"</t>
  </si>
  <si>
    <t>Listón Saligna Bruto 1"x2"</t>
  </si>
  <si>
    <t>Listón Saligna Bruto 1"x3"</t>
  </si>
  <si>
    <t>Listón Saligna Bruto 1"x4"</t>
  </si>
  <si>
    <t>Listón Saligna Bruto 2´x 2´(p/Chapa)</t>
  </si>
  <si>
    <t>Machimbre de Pino Pecom Linea Impregnada 1/2"</t>
  </si>
  <si>
    <t>Machimbre Pino Elliotis 1´´</t>
  </si>
  <si>
    <t>Machimbre Pino Elliotis 1/2´´</t>
  </si>
  <si>
    <t>Machimbre Pino Elliotis 3/4´´</t>
  </si>
  <si>
    <t>Moldura Cuarta Caña Pino, 1´x1´</t>
  </si>
  <si>
    <t>Moldura Cuarta Caña Pino, 11/2´x11/2´</t>
  </si>
  <si>
    <t>Nariz para Escalera en Guayubira  3´</t>
  </si>
  <si>
    <t>Placa Fenólico Grandis 12mm 2,40x1,22 mts</t>
  </si>
  <si>
    <t>Placa Fenólico Grandis 25mm 1,22x2,44 mts.</t>
  </si>
  <si>
    <t>Placa Fibrofacil MDF 12mm 1,83x2,60 mts</t>
  </si>
  <si>
    <t>Placa Fibrofacil MDF 15mm 1,83 x 2,60 mts</t>
  </si>
  <si>
    <t>Placa Fibrofacil MDF 25mm 3,66x1,83 mts</t>
  </si>
  <si>
    <t>Placa Fibrofacil MDF 3mm 1,83 x 2,60 mts</t>
  </si>
  <si>
    <t>Placa Fibrofacil MDF 5,5mm 1,83 x 2,60 mts</t>
  </si>
  <si>
    <t>Placa Fibrofacil MDF 9mm 3,66x1,83 mts</t>
  </si>
  <si>
    <t>Placa Trupan MDF Melamina Bark Scotch 18mm 2,75x1,83 mts</t>
  </si>
  <si>
    <t>Placa Trupan MDF Melamina Blanco 18mm 2,75x1,83 mts</t>
  </si>
  <si>
    <t>Placa Trupan MDF Melamina Cedro 18mm 2,75x1,83 mts</t>
  </si>
  <si>
    <t>Poste, Eucalipto Impregnado 14-16 x 2,00 mts</t>
  </si>
  <si>
    <t>Puntal Guayubira 3"x3", Cepillado</t>
  </si>
  <si>
    <t>Puntal Saligna 3"x3"x 2,40mts</t>
  </si>
  <si>
    <t>Tabla Saligna Bruto 1"x5"</t>
  </si>
  <si>
    <t>Tabla Saligna Bruto 1"x6"</t>
  </si>
  <si>
    <t>Tabla/Bando Pino Elliotis 1´´x5´´, Cepillado</t>
  </si>
  <si>
    <t>Tabla/Bando Pino Elliotis 1´´x6´´, Cepillado</t>
  </si>
  <si>
    <t>Tirante Pino Elliotis 2"x4", Cepillado</t>
  </si>
  <si>
    <t>Tirante Pino Elliotis 2"x6", Cepillado</t>
  </si>
  <si>
    <t>Tirante Pino Elliotis 3´´x8´´, Cepillado</t>
  </si>
  <si>
    <t>Tirante Pino Elliotis 3"x6", Cepillado</t>
  </si>
  <si>
    <t>Tirante Pino Paraná 2"x5", Cepillado</t>
  </si>
  <si>
    <t>Viga de Pino Parana Multilaminado 3"x8"</t>
  </si>
  <si>
    <t>Zocalo Pino 3/4´x3´, Calado</t>
  </si>
  <si>
    <t>Zocalo Pino, 1/2´x3´, Calado</t>
  </si>
  <si>
    <t>Mármoles y Granitos</t>
  </si>
  <si>
    <t>Granito Gris Mara, Esp. 2cm.</t>
  </si>
  <si>
    <t>Granito Gris Perla, Esp. 2cm.</t>
  </si>
  <si>
    <t>Granito Negro Brasil, Esp. 2cm.</t>
  </si>
  <si>
    <t>Granito Rojo Dragon, Esp. 2cm.</t>
  </si>
  <si>
    <t>Granito San Felipe, Esp. 2cm.</t>
  </si>
  <si>
    <t>Granito Sierra Chica, Esp. 2cm.</t>
  </si>
  <si>
    <t>Granito Verde Ubatuba, Esp. 2cm.</t>
  </si>
  <si>
    <t>Mármol Beige Bahía</t>
  </si>
  <si>
    <t>Mármol Botticcino</t>
  </si>
  <si>
    <t>Mármol Carrara</t>
  </si>
  <si>
    <t>Mármol New Beige</t>
  </si>
  <si>
    <t>Mármol Travertino Nacional</t>
  </si>
  <si>
    <t>Zócalo Granito Gris Mara, Esp. 2cm (Altura 5cm.)</t>
  </si>
  <si>
    <t>Piedras</t>
  </si>
  <si>
    <t>Laja La Rioja (Irregular)</t>
  </si>
  <si>
    <t>Laja Neuquén Zapala (Irregular)</t>
  </si>
  <si>
    <t>Laja San Juan (Irregular)</t>
  </si>
  <si>
    <t>Laja San Luis (Bastón Roto)</t>
  </si>
  <si>
    <t>Laja San Luis (Cortada 30 x 30)</t>
  </si>
  <si>
    <t>Piedra Bariloche Rustica (Irregular)</t>
  </si>
  <si>
    <t>Piedra Neuquén Zapala Rustica (Irregular)</t>
  </si>
  <si>
    <t>Piedra San Juan Rustica (Irregular)</t>
  </si>
  <si>
    <t xml:space="preserve">Piedra San Luis Rustica (Irregular) </t>
  </si>
  <si>
    <t>Pórfido (Cortada)</t>
  </si>
  <si>
    <t>Pinturas</t>
  </si>
  <si>
    <t>Aguarrás Acritone, 18lts</t>
  </si>
  <si>
    <t>Aguarrás Sinteplast Premium, 1lt</t>
  </si>
  <si>
    <t>Bandeja de Colgar (plástica)</t>
  </si>
  <si>
    <t>Barniz Marino ´doble vida´</t>
  </si>
  <si>
    <t>Barniz Marino, 4lts</t>
  </si>
  <si>
    <t>Barniz Satinado Cristalba, 4lts</t>
  </si>
  <si>
    <t>Cetol Clasic Satinado, 4lts</t>
  </si>
  <si>
    <t>Cetol Clasic Satinado/Brillante, 1lts</t>
  </si>
  <si>
    <t>Cinta Papel encubrir 18 mm. x 50 mts</t>
  </si>
  <si>
    <t>Convertidor de Oxido Blanco Venier, 1lt</t>
  </si>
  <si>
    <t>Convertidor de Oxido Colorín Seakrome, 1lt</t>
  </si>
  <si>
    <t>Convertidor de Oxido Colorín Seakrome, 4lts</t>
  </si>
  <si>
    <t>Enduido Exterior Alba, 1kg</t>
  </si>
  <si>
    <t>Enduido Interior Alba, 1kg</t>
  </si>
  <si>
    <t>Enduido Plastico Interior/Exterior Colorin, 4Kg.</t>
  </si>
  <si>
    <t>Entonadores 30 cm3</t>
  </si>
  <si>
    <t>Esmalte Epoxi Sinteplast, 1lt</t>
  </si>
  <si>
    <t>Esmalte Epoxi Sinteplast, 4lts</t>
  </si>
  <si>
    <t>Esmalte Sintético Brillante Alba</t>
  </si>
  <si>
    <t>Esmalte Sintético Colorin, 1lt</t>
  </si>
  <si>
    <t>Esmalte Sintético Colorin, 4lts</t>
  </si>
  <si>
    <t>Esmalte Sintetico Forja Albalux 2 en 1, 4lts.</t>
  </si>
  <si>
    <t>Esmalte Sintético Satinado Alba, 1lt</t>
  </si>
  <si>
    <t>Esmalte Sintetico Satinol Alba, 4lts.</t>
  </si>
  <si>
    <t>Fibrado Impermeabilizante para Techos Plavicon</t>
  </si>
  <si>
    <t>Fijador-Sellador al Agua Alba, 20lts.</t>
  </si>
  <si>
    <t>Fijador-Sellador al Agua Interior/Exterior Sinteplast</t>
  </si>
  <si>
    <t>Fondo Blanco para Madera Alba, 1lt</t>
  </si>
  <si>
    <t>Fondo Impermeabilizante para Paredes Alba, 4lts</t>
  </si>
  <si>
    <t>Impermeabilizante Frente Duralba, 20lts</t>
  </si>
  <si>
    <t>Latex Albalatex Design, 4lts.</t>
  </si>
  <si>
    <t>Látex Antihongo Alba, 4lts</t>
  </si>
  <si>
    <t>Látex para Cielorraso Alba</t>
  </si>
  <si>
    <t>Látex para Cielorrasos Alba, 4lts</t>
  </si>
  <si>
    <t>Látex para Cielorrasos Colorin, 4lts.</t>
  </si>
  <si>
    <t>Látex para Exterior Alba, 4lts</t>
  </si>
  <si>
    <t>Látex para Interior Alba, 4lts</t>
  </si>
  <si>
    <t>Látex para Interior/Exterior Sinteplast, 4lts</t>
  </si>
  <si>
    <t>Látex para Piletas Tersuave, Base Solvente, 10lts</t>
  </si>
  <si>
    <t>Látex Profesional Exterior Alba</t>
  </si>
  <si>
    <t>Látex Profesional Interior Alba</t>
  </si>
  <si>
    <t>Látex Satinado Alba, 4lts</t>
  </si>
  <si>
    <t>Lija</t>
  </si>
  <si>
    <t>Removedor Gel Sinteplast, 1lt</t>
  </si>
  <si>
    <t>Rodillo Lana 22cm</t>
  </si>
  <si>
    <t>Rodillo Poliester 22cm</t>
  </si>
  <si>
    <t>Silicona para Ladrillos Brikol, 4lts</t>
  </si>
  <si>
    <t>Thinner Sinteplast, 1lt</t>
  </si>
  <si>
    <t>Pisos y Revestimientos</t>
  </si>
  <si>
    <t>Adoquines Porfido 10x10</t>
  </si>
  <si>
    <t>Alfombra Pelo Cortado (Lana)</t>
  </si>
  <si>
    <t>Alfombra Pelo Cortado (Polipropileno)</t>
  </si>
  <si>
    <t>Alfombra polipropileno alto transito (boucle) A</t>
  </si>
  <si>
    <t>Alfombra polipropileno alto transito (boucle) B</t>
  </si>
  <si>
    <t>Alfombra polipropileno alto transito (boucle) C</t>
  </si>
  <si>
    <t>Baldoson J. Blangino de Cemento 40x60</t>
  </si>
  <si>
    <t>Baldoson J. Blangino Graníto Pulido Gris 40x60</t>
  </si>
  <si>
    <t>Cerámica Alberdi Esmaltada Gris Cemento/Terra Marfil 34x34</t>
  </si>
  <si>
    <t>Cerámica Alberdi Roja Colonial 30x30</t>
  </si>
  <si>
    <t>Cerámica San Lorenzo Forte Blanco 20x20</t>
  </si>
  <si>
    <t>Cerámico (Tipo Alberdi) Terracota Colonial 20x20</t>
  </si>
  <si>
    <t>Cerámico Alberdi Esmaltado 20x20 (1)</t>
  </si>
  <si>
    <t>Cerámico Alberdi Esmaltado 40x40 (2)</t>
  </si>
  <si>
    <t>Cerámico Alberdi Esmaltado 60x60 (3)</t>
  </si>
  <si>
    <t>Cerámico Alberdi Esmaltado Revestimiento 20x20 (1)</t>
  </si>
  <si>
    <t>Cerámico Alberdi Esmaltado Revestimiento 40x40 (2)</t>
  </si>
  <si>
    <t>Cerámico Alberdi Esmaltado Revestimiento 60x60 (3)</t>
  </si>
  <si>
    <t>Cerámico Lume Símil Madera (Rectificada) 22x90</t>
  </si>
  <si>
    <t>Cerámico San Lorenzo Esmaltado Blanco 20x20</t>
  </si>
  <si>
    <t>Loseta Atérmica Borde Curvo y Antideslizante. 50x50</t>
  </si>
  <si>
    <t>Loseta Atérmica Borde Recto y Antideslizante. 50x50</t>
  </si>
  <si>
    <t>Loseta J. Blangino 40x40 (Calcáreo)</t>
  </si>
  <si>
    <t>Loseta J. Blangino 40x40 (Granítico)</t>
  </si>
  <si>
    <t>Loseta J. Blangino 40x40 (Piedra Lavada)</t>
  </si>
  <si>
    <t>Loseta J. Blangino 40x60 (Piedra Lavada Gris)</t>
  </si>
  <si>
    <t>Microcemento recuplast kit Completo 25m2 + Recufloor Protector 5lts</t>
  </si>
  <si>
    <t>Mosaicos J. Blangino Calcáreos Rojo/Negro 20x20</t>
  </si>
  <si>
    <t>Mosaicos J. Blangino Graníticos 20x20 Grano Fino</t>
  </si>
  <si>
    <t>Papel Base, Rollo</t>
  </si>
  <si>
    <t>Papeles Vinílicos, Rollo</t>
  </si>
  <si>
    <t>Papeles Vinilizados, Rollo</t>
  </si>
  <si>
    <t>Parquet Anchico Colonial 1x4x1 m</t>
  </si>
  <si>
    <t>Parquet Eucaliptus Claro Colonial 20 mm</t>
  </si>
  <si>
    <t>Parquet Eucaliptus Rosado Claro Veteado</t>
  </si>
  <si>
    <t>Parquet Eucaliptus Rosado Oscuro (Selección)</t>
  </si>
  <si>
    <t>Parquet Eucaliptus Rosado Oscuro Veteado</t>
  </si>
  <si>
    <t>Pavimento Articulado, Esp. 0,06 m</t>
  </si>
  <si>
    <t>Pavimento Hormigón Articulado (8x16x20)</t>
  </si>
  <si>
    <t>Pavimento Intertrabado, Esp. 0,08 m</t>
  </si>
  <si>
    <t>Piso Flotante Importado 10mm Roble</t>
  </si>
  <si>
    <t>Piso Flotante Importado 6mm Nogal</t>
  </si>
  <si>
    <t>Piso Flotante Importado 8mm Roble Claro</t>
  </si>
  <si>
    <t>Piso Flotante Melaminico Nacional, Tabla 0,20x1,20 m. S/Zocalo A</t>
  </si>
  <si>
    <t>Piso Flotante Melaminico Nacional, Tabla 0,20x1,20 m. S/Zocalo B</t>
  </si>
  <si>
    <t>Piso Flotante Melaminico Nacional, Tabla 0,20x1,20 m. S/Zocalo C</t>
  </si>
  <si>
    <t>Piso Vinilico en Listones</t>
  </si>
  <si>
    <t>Porcelanato Alberdi Pulido 35x60</t>
  </si>
  <si>
    <t>Porcelanato Alberdi Pulido 50x50</t>
  </si>
  <si>
    <t>Porcellanato Alberdi 20x120 Rectificado</t>
  </si>
  <si>
    <t>Porcellanato Alberdi 30x30 Rectificado - Antimanchas A</t>
  </si>
  <si>
    <t>Porcellanato Alberdi 30x30 Rectificado para Revestimiento A</t>
  </si>
  <si>
    <t>Porcellanato Alberdi 40x40 Rectificado - Antimanchas B</t>
  </si>
  <si>
    <t>Porcellanato Alberdi 40x40 Rectificado para Revestimiento B</t>
  </si>
  <si>
    <t>Porcellanato Alberdi 60x60 Rectificado - Antimanchas C</t>
  </si>
  <si>
    <t>Porcellanato Alberdi 60x60 Rectificado para Revestimiento C</t>
  </si>
  <si>
    <t>Porcellanato Alberdi 80x80 Rectificado</t>
  </si>
  <si>
    <t>Revestimiento Cañuelas Calcata 32x47</t>
  </si>
  <si>
    <t>Varilla Dilatación Bajo Puerta</t>
  </si>
  <si>
    <t>Venecita Placa 33x33</t>
  </si>
  <si>
    <t>Venecitas de Piedra A</t>
  </si>
  <si>
    <t>Venecitas de Piedra B</t>
  </si>
  <si>
    <t>Venecitas de Piedra C</t>
  </si>
  <si>
    <t>Venecitas Guardas Mosaicos, Combinadas de Vidrios A</t>
  </si>
  <si>
    <t>Venecitas Guardas Mosaicos, Combinadas de Vidrios B</t>
  </si>
  <si>
    <t>Venecitas Guardas Mosaicos, Combinadas de Vidrios C</t>
  </si>
  <si>
    <t>Zócalos J. Blangino Calcáreos Gris, 30x10</t>
  </si>
  <si>
    <t>Zócalos J. Blangino Granitico Gris, 30x10</t>
  </si>
  <si>
    <t>Zócalos J. Blangino Granítico Rojo, 30x10</t>
  </si>
  <si>
    <t>Revestimientos Texturados</t>
  </si>
  <si>
    <t>Revestimiento Revear Classic Stone x 25kg</t>
  </si>
  <si>
    <t>Revestimiento Revear Texturado Travertino/Rulato Extra-Grueso x 25kg.</t>
  </si>
  <si>
    <t>Revestimiento Revear Texturado Travertino/Rulato Fino x 25kg.</t>
  </si>
  <si>
    <t>Revestimiento Tarquini Texturado Pétreo x 20kg.</t>
  </si>
  <si>
    <t>Revestimiento Tarquini Texturado Travertino/Rulato Grueso x 20kg.</t>
  </si>
  <si>
    <t>Revestimiento Tarquini Texturado Travertino/Rulato Medio x 20kg.</t>
  </si>
  <si>
    <t>Revestimiento Weber Acrílico Travertino (Interior y Exterior)</t>
  </si>
  <si>
    <t>Revestimiento Weber Salpicret Blanco, Bolsa x 30kg</t>
  </si>
  <si>
    <t>Revestimiento Weber Super Iggam Blanco, Bolsa x 30kg</t>
  </si>
  <si>
    <t>Weber Base Coat</t>
  </si>
  <si>
    <t xml:space="preserve">Sistemas de Calefacción </t>
  </si>
  <si>
    <t>Climatizador de Piscina Peisa Tx40</t>
  </si>
  <si>
    <t>Kit Universal de Instalación de Radiador/Toallero con 1 Válvula Escuadra, 1 Detentor Escuadra, 2 Niples Cromados, 1 Grifo de Purga, 1 Tapón 1/2", 4 Reducciones de 1" a 1/2" y 2 Ménsulas don Tarugo</t>
  </si>
  <si>
    <t>Piso Radiante Tubotherm, Kit Colector Plástico 20mm p/4 Circuitos.</t>
  </si>
  <si>
    <t>Piso Radiante Tubotherm, Manta aislante de 10mm. 1x20mts.</t>
  </si>
  <si>
    <t>Piso Radiante Tubotherm, Termostato de Ambiente Programable 220v. WIFI</t>
  </si>
  <si>
    <t>Piso Radiante Tubotherm, Termostato de Ambiente Táctil 3v.</t>
  </si>
  <si>
    <t>Piso Radiante Tubotherm, Tubo de 20mm x 100 mts. (PERT)</t>
  </si>
  <si>
    <t>Piso Radiante Tubotherm, Tubo de 20mm x 240 mts. (PERT)</t>
  </si>
  <si>
    <t>Piso Radiante Tubotherm, Unión Normal c/Dos Bujes de 20mm</t>
  </si>
  <si>
    <t>Precintos Tacsa Plástico 200mm x 100 Unidades</t>
  </si>
  <si>
    <t>Radiador Peisa 500mm, Aluminio x 12 elementos.</t>
  </si>
  <si>
    <t>Radiador Peisa 500mm, Aluminio x 2 elementos</t>
  </si>
  <si>
    <t>Radiador Peisa 500mm, Aluminio x 3 elementos.</t>
  </si>
  <si>
    <t>Radiador Peisa 500mm, Aluminio x 6 elementos.</t>
  </si>
  <si>
    <t>Radiador Peisa 500mm, Aluminio x 9 elementos.</t>
  </si>
  <si>
    <t>Radiador Peisa 500mm, Aluminio, 240 kcal/h, c/Elemento.</t>
  </si>
  <si>
    <t>Toallero Peisa 800mm, Aluminio.</t>
  </si>
  <si>
    <t>Tierra, Tosca y Suelos para Rellenos</t>
  </si>
  <si>
    <t>Escombro comun</t>
  </si>
  <si>
    <t>Escombro triturado comun</t>
  </si>
  <si>
    <t>Relleno contenedor</t>
  </si>
  <si>
    <t>Tierra fertil (para jardín)</t>
  </si>
  <si>
    <t>Tosca</t>
  </si>
  <si>
    <t>Yeseria</t>
  </si>
  <si>
    <t>Yeso Blanco Betalfa Pescio x40kg</t>
  </si>
  <si>
    <t>Yeso Blanco Corral x40kg</t>
  </si>
  <si>
    <t>Yeso Blanco Tuyango x30kg</t>
  </si>
  <si>
    <t>Yeso Blanco Yemaco x40Kg</t>
  </si>
  <si>
    <t>Yeso Negro x40kg</t>
  </si>
  <si>
    <t>Zingueria</t>
  </si>
  <si>
    <t>Babeta para Techo de Chapa Color 15 cm</t>
  </si>
  <si>
    <t>Babeta para Techo de Chapa Galvanizada 15 cm</t>
  </si>
  <si>
    <t>Boca de Salida y Tapas</t>
  </si>
  <si>
    <t>Cabecera 1/2 Caña Galvanizado</t>
  </si>
  <si>
    <t>Canaleta 1/2 Caña 15mm x 2m Galvanizado</t>
  </si>
  <si>
    <t>Canaleta Contramuro Interna Galvanizado. Desarrollo 50cm.</t>
  </si>
  <si>
    <t>Canaleta Exterior Moldura Simple</t>
  </si>
  <si>
    <t>Canaleta Interna 19 cm de Fondo</t>
  </si>
  <si>
    <t>Canaleta Interna Conversa Galvanizada (desarrollo 40cm)</t>
  </si>
  <si>
    <t>Canaletín Teja, de 7 cm de Fondo</t>
  </si>
  <si>
    <t>Caño 3´ x 1m.</t>
  </si>
  <si>
    <t>Caño 4´ x 1m.</t>
  </si>
  <si>
    <t>Caño Bajada Rectangular, 5 cm x 10 cm</t>
  </si>
  <si>
    <t>Capitel con Moldura</t>
  </si>
  <si>
    <t>Cenefa Decorativa Galvanizado 30cm. Cal.27</t>
  </si>
  <si>
    <t>Codo de Chapa Rectangular 45° Galvanizado 5 cm x 10 cm</t>
  </si>
  <si>
    <t>Cumbrera Chapa Color</t>
  </si>
  <si>
    <t>Cumbrera Chapa Galvanizada</t>
  </si>
  <si>
    <t>Curva Articulada de 3´</t>
  </si>
  <si>
    <t>Curva Articulada de 4´</t>
  </si>
  <si>
    <t>Recibidor/Embudo Común Galvanizado</t>
  </si>
  <si>
    <t>Sombrerete 3´</t>
  </si>
  <si>
    <t>Sombrerete 4´</t>
  </si>
  <si>
    <t>Sombrerete Ventilación H, 3"</t>
  </si>
  <si>
    <t>Consumibles</t>
  </si>
  <si>
    <t>DISCO DE CORTE PARA MAMPOSTERÍA (U)</t>
  </si>
  <si>
    <t>CASCOTE DE LADRILLOS (M3)</t>
  </si>
  <si>
    <t>Metro cubico</t>
  </si>
  <si>
    <t>FILM POLIETILENO 200µ (M2)</t>
  </si>
  <si>
    <t>FRATACHO (U)</t>
  </si>
  <si>
    <t>LLANA LISA (U)</t>
  </si>
  <si>
    <t>CARTÓN CORRUGADO (M2)</t>
  </si>
  <si>
    <t>MEMBRANA ASFÁLTICA GEOTEXTIL (M2)</t>
  </si>
  <si>
    <t>FRATACHO ABRASIVO (U)</t>
  </si>
  <si>
    <t>SEPARADORES PORCELANATOS TIPO CUÑA (U)</t>
  </si>
  <si>
    <t>LLANA DENTADA 10MM (U)</t>
  </si>
  <si>
    <t>DISCO DIAMANTADO PARA PORCELANATO (U)</t>
  </si>
  <si>
    <t>FIJACIONES (U)</t>
  </si>
  <si>
    <t>MEMBRANA HIDROFUGA TIPO TYBEK (M2)</t>
  </si>
  <si>
    <t>PINCEL N°20 (U)</t>
  </si>
  <si>
    <t>PINCEL N°5 (U)</t>
  </si>
  <si>
    <t>CUBO · Precios de Mano de Obra — Sismat</t>
  </si>
  <si>
    <t>Tarea</t>
  </si>
  <si>
    <t>Detalle</t>
  </si>
  <si>
    <t>Trabajos Preliminares</t>
  </si>
  <si>
    <t>Baño químico</t>
  </si>
  <si>
    <t>Alquiler por mes</t>
  </si>
  <si>
    <t>Cartel de obra</t>
  </si>
  <si>
    <t>Cerco de obra</t>
  </si>
  <si>
    <t>Contenedor chico</t>
  </si>
  <si>
    <t>Alquiler por unidad</t>
  </si>
  <si>
    <t>Contenedor grande</t>
  </si>
  <si>
    <t>Defensa de protección para trabajo en obra</t>
  </si>
  <si>
    <t>Empalizada 10ml x 2,00m altura</t>
  </si>
  <si>
    <t>Con Chapa y Perfiles + Portón corredizo manual. (Incluye Materiales)</t>
  </si>
  <si>
    <t>Limpieza de terreno</t>
  </si>
  <si>
    <t xml:space="preserve">Desmalezar + corte de pasto </t>
  </si>
  <si>
    <t>Limpieza y nivelación de terreno.</t>
  </si>
  <si>
    <t>Obrador (1,80 x 2,40 mts)</t>
  </si>
  <si>
    <t>Obrador, depósito y sanitario</t>
  </si>
  <si>
    <t>Obrador, Replanteo y Nivelación</t>
  </si>
  <si>
    <t>Vivienda h/80m², incluye estacas, tirar escuadras y fijar niveles</t>
  </si>
  <si>
    <t>Pilar de luz tradicional</t>
  </si>
  <si>
    <t>Replanteo</t>
  </si>
  <si>
    <t>Retiro de tierra y nivelación de sup. p/ejecutar contrapisos y/o plateas. Incluye compactacion</t>
  </si>
  <si>
    <t>Demoliciones</t>
  </si>
  <si>
    <t>De contrapisos</t>
  </si>
  <si>
    <t>De estructura de hormigón</t>
  </si>
  <si>
    <t>De mamposterías</t>
  </si>
  <si>
    <t>De pisos</t>
  </si>
  <si>
    <t>De techos (Chapas y Tejas)</t>
  </si>
  <si>
    <t>Demolición obra completa</t>
  </si>
  <si>
    <t>Picado de revestimiento</t>
  </si>
  <si>
    <t>Picado de revoques</t>
  </si>
  <si>
    <t>Retiro de membrana existente</t>
  </si>
  <si>
    <t>Movimiento de suelos</t>
  </si>
  <si>
    <t>Carga y retiro de tierra con camión</t>
  </si>
  <si>
    <t>Construcción aro perimetral de mampostería y losa para pozo ciego.</t>
  </si>
  <si>
    <t>Losa de cierre y colocación caño de ventilación.</t>
  </si>
  <si>
    <t>Destape del terreno (hasta 20/30cm de prof. con pala frontal)</t>
  </si>
  <si>
    <t>Excavación de bases</t>
  </si>
  <si>
    <t>Excavación de pozos para pilotín (diam. 20cm - prof. 1.50m)</t>
  </si>
  <si>
    <t>Excavación de sótano a máquina</t>
  </si>
  <si>
    <t>Excavación de vigas de fundición</t>
  </si>
  <si>
    <t>Excavación p/pozo ciego (diámetro 1,60ml)</t>
  </si>
  <si>
    <t>Relleno de suelos con tierra fértil (para Jardín)</t>
  </si>
  <si>
    <t>Relleno de suelos con tosca (para nivelar)</t>
  </si>
  <si>
    <t>Fundaciones</t>
  </si>
  <si>
    <t>Base 1 de H°A° 0.60x0.60 (armado y llenado)</t>
  </si>
  <si>
    <t>Base 2 de H°A° 0.60x1.00 (armado y llenado)</t>
  </si>
  <si>
    <t>Base 3 de H°A° 0.80x0.80 (armado y llenado)</t>
  </si>
  <si>
    <t>Base 4 de H°A° 1.00x1.00 (armado y llenado)</t>
  </si>
  <si>
    <t>Cimiento corrido de Hormigón de cascotes (con cal y cemento)</t>
  </si>
  <si>
    <t>Cimiento corrido de Hormigón de cascotes (con cemento de albañilería)</t>
  </si>
  <si>
    <t>Pilotín (diam. 20cm)</t>
  </si>
  <si>
    <t>Platea de H°A° (espesor 15cm.)</t>
  </si>
  <si>
    <t>Platea de H°A° (espesor 20cm.)</t>
  </si>
  <si>
    <t>Platea de H°A° (espesor 25cm.)</t>
  </si>
  <si>
    <t>Viga de fundación 20x25 (armado y llenado)</t>
  </si>
  <si>
    <t>con 4 hierros del 10. (estribos del 6)</t>
  </si>
  <si>
    <t>Viga de fundación 20x30 (armado y llenado)</t>
  </si>
  <si>
    <t>Con 4 hierros del 10. (estribos del 6)</t>
  </si>
  <si>
    <t>Viga de fundación 25x25 (armado y llenado)</t>
  </si>
  <si>
    <t xml:space="preserve">Viga de fundación 25x30 (armado y llenado) </t>
  </si>
  <si>
    <t>Viga de fundación 30x30 (armado y llenado)</t>
  </si>
  <si>
    <t>Zapata de Hormigón Pobre (0.40x0.80)</t>
  </si>
  <si>
    <t>Mampostería de cimientos</t>
  </si>
  <si>
    <t>Mampostería de 15</t>
  </si>
  <si>
    <t>ladrillo común</t>
  </si>
  <si>
    <t>Mampostería de 15 (con cemento de albañilería)</t>
  </si>
  <si>
    <t>Mampostería de 20</t>
  </si>
  <si>
    <t>Mampostería de 20 (con cemento de albañilería)</t>
  </si>
  <si>
    <t>Mampostería de 30</t>
  </si>
  <si>
    <t>Mampostería de 30 (con cemento de albañilería)</t>
  </si>
  <si>
    <t>Capas aisladoras</t>
  </si>
  <si>
    <t>Horizontal (Espesor 2cm)</t>
  </si>
  <si>
    <t>incluye hidrofugo y pintura asfáltica</t>
  </si>
  <si>
    <t>Vertical azotado (Espesor 0.5cm)</t>
  </si>
  <si>
    <t>Mampostería de elevación con cemento tradicional</t>
  </si>
  <si>
    <t>Bloque Hormigón Liso 09x19x39</t>
  </si>
  <si>
    <t>Bloque Hormigón Liso 19x19x39</t>
  </si>
  <si>
    <t>Bloque Hormigón Símil Piedra 12,5x19x39</t>
  </si>
  <si>
    <t>Bloque Hormigón Símil Piedra 19x19x39</t>
  </si>
  <si>
    <t>Ladrillo común de 15</t>
  </si>
  <si>
    <t>Ladrillo común de 20</t>
  </si>
  <si>
    <t>Ladrillo común de 30</t>
  </si>
  <si>
    <t>Ladrillo común visto de 15cm</t>
  </si>
  <si>
    <t>con junta tomada</t>
  </si>
  <si>
    <t>Ladrillo portante 12x19x33</t>
  </si>
  <si>
    <t>Ladrillo portante 18x19x33</t>
  </si>
  <si>
    <t>Ladrillos huecos 08x18x33</t>
  </si>
  <si>
    <t>Ladrillos huecos 12x18x33</t>
  </si>
  <si>
    <t>Ladrillos huecos 18x18x33</t>
  </si>
  <si>
    <t>Ladrillos huecos para encadenados 12x18x33</t>
  </si>
  <si>
    <t>Incluye Hormigón Armado c/ 4 barras del 8 y estribos del 4,2</t>
  </si>
  <si>
    <t>Ladrillos huecos para encadenados 18x18x33</t>
  </si>
  <si>
    <t>Tomado de juntas</t>
  </si>
  <si>
    <t>Mampostería de elevación con cemento de albañilería</t>
  </si>
  <si>
    <t>Con cemento de albañilería</t>
  </si>
  <si>
    <t>Ladrillo portante 12x19x39</t>
  </si>
  <si>
    <t>Ladrillo portante 18x19x39</t>
  </si>
  <si>
    <t>Mampostería de elevación con Retak</t>
  </si>
  <si>
    <t>Ladrillo RETAK ¨U¨ Refuerzo Vertical y/o Horizontal 50x25x15cm.</t>
  </si>
  <si>
    <t>Incluye armadura y hormigón</t>
  </si>
  <si>
    <t>Ladrillo RETAK ¨U¨ Refuerzo Vertical y/o Horizontal 50x25x17,5cm.</t>
  </si>
  <si>
    <t>Ladrillo RETAK ¨U¨ Refuerzo Vertical y/o Horizontal 50x25x20cm.</t>
  </si>
  <si>
    <t>Ladrillo RETAK 50x25x07,5cm. (No portante)</t>
  </si>
  <si>
    <t>Ladrillo RETAK 50x25x10cm. (No portante)</t>
  </si>
  <si>
    <t>Ladrillo RETAK 50x25x12,5cm. (No portante)</t>
  </si>
  <si>
    <t>Mampostería de elevación con Rapibrick</t>
  </si>
  <si>
    <t>Ladrillos Huecos 08x18x33</t>
  </si>
  <si>
    <t>Ladrillos Huecos 12x18x33</t>
  </si>
  <si>
    <t>Ladrillos Huecos 18x18x33</t>
  </si>
  <si>
    <t>Estructuras de hormigón armado</t>
  </si>
  <si>
    <t>Base, Columna y Plataforma de H°A° para Tanque de Agua Elevado</t>
  </si>
  <si>
    <t>estructura para T.A. hasta 1.100lts. (altura 4,00mts.)</t>
  </si>
  <si>
    <t>Columna H°A° 15x20 (Hierro 10mm)</t>
  </si>
  <si>
    <t>con hierro del 10mm y estribos del 6 c/20cm.</t>
  </si>
  <si>
    <t>Columna H°A° 15x20 (Hierro 8mm)</t>
  </si>
  <si>
    <t>con hierro del 8 y estribos del 6 c/20cm.</t>
  </si>
  <si>
    <t>Columna H°A° 15x25 (Hierro 10mm)</t>
  </si>
  <si>
    <t>con hierros del 10mm y estribos del 6 c/20cm.</t>
  </si>
  <si>
    <t>Columna H°A° 20x20 (Hierro 8mm)</t>
  </si>
  <si>
    <t>Columna HºAº 20x20 (Hierro 10mm)</t>
  </si>
  <si>
    <t>con hierro del 10 y estribos del 6 c/20cm.</t>
  </si>
  <si>
    <t>Columna HºAº 20x20 (Hierro 12mm)</t>
  </si>
  <si>
    <t>con hierro del 12 y estribos del 6 c/20cm.</t>
  </si>
  <si>
    <t>Columna HºAº 30x30 (Hierro 12mm)</t>
  </si>
  <si>
    <t>con hierro del 12mm y estribos del 6mm c/20cm</t>
  </si>
  <si>
    <t>Dintel de 1 a 2mts de Luz</t>
  </si>
  <si>
    <t>con 3 hierros del 8mm (Sumar apoyo 20cm. mínimo)</t>
  </si>
  <si>
    <t>Dintel Hasta 1mt de Luz</t>
  </si>
  <si>
    <t>con 2 hierros del 8mm (sumar apoyo 20cm. mínimo)</t>
  </si>
  <si>
    <t>Encadenado H°A° 15x15</t>
  </si>
  <si>
    <t>hierro del 8 y estribos del 6 c/20cm.</t>
  </si>
  <si>
    <t>Encadenado H°A° 15x20</t>
  </si>
  <si>
    <t>Encadenado H°A° 15x30</t>
  </si>
  <si>
    <t>hierro del 8mm y estribos del 6 c/20cm.</t>
  </si>
  <si>
    <t>Encadenado H°A° 20x15</t>
  </si>
  <si>
    <t>hierro del 10mm y estribos del 6mm c/20cm</t>
  </si>
  <si>
    <t>Encadenado H°A° 20x20</t>
  </si>
  <si>
    <t>Encadenado H°A° 20x30</t>
  </si>
  <si>
    <t>Escalera de H°A° (ancho 0.90 mts)</t>
  </si>
  <si>
    <t>contiene 15 escalones.</t>
  </si>
  <si>
    <t xml:space="preserve">Losa de viguetas con ladrillo de tergopol </t>
  </si>
  <si>
    <t>Definir los largos de las viguetas según la distancia entre apoyo  mas 18cm. para apoyarlas. (9cm en cada punta)</t>
  </si>
  <si>
    <t>Losa H°A°, espesor 10cm.</t>
  </si>
  <si>
    <t>con madera, encofrado, armado de hierros y llenado.</t>
  </si>
  <si>
    <t>Viga H°A° por 3,00 mts. (12x30cm)</t>
  </si>
  <si>
    <t>Viga H°A° por 4,00 mts. (12x40cm)</t>
  </si>
  <si>
    <t>Viga H°A° por 5,00 mts. (12x50cm)</t>
  </si>
  <si>
    <t>Revoques</t>
  </si>
  <si>
    <t>2 en 1: grueso y fino interior</t>
  </si>
  <si>
    <t>3 en 1: grueso con hidrofugo y fino exterior</t>
  </si>
  <si>
    <t xml:space="preserve">Alisado de muros (interior) con masilla </t>
  </si>
  <si>
    <t>Son 3 manos de 1mm de espesor (Total 3mm)</t>
  </si>
  <si>
    <t>Azotado hidrófugo bajo revoque</t>
  </si>
  <si>
    <t>Enlucido de yeso</t>
  </si>
  <si>
    <t>Fino exterior</t>
  </si>
  <si>
    <t>Fino interior</t>
  </si>
  <si>
    <t>Fino interior/exterior in situ</t>
  </si>
  <si>
    <t>Grueso bolseado exterior/interior</t>
  </si>
  <si>
    <t>Grueso fratasado exterior/interior</t>
  </si>
  <si>
    <t>Grueso regleado exterior</t>
  </si>
  <si>
    <t>Grueso regleado interior</t>
  </si>
  <si>
    <t>Contrapisos</t>
  </si>
  <si>
    <t>De cascotes s/ terreno natural. Esp: 10cm.</t>
  </si>
  <si>
    <t>De cascotes s/ terreno natural. Esp: 10cm. (con cemento de albañilería)</t>
  </si>
  <si>
    <t xml:space="preserve">De hormigón s/ losa. (esp: 7cm.) </t>
  </si>
  <si>
    <t xml:space="preserve">De hormigón s/ terreno natural. (esp: 10cm.) </t>
  </si>
  <si>
    <t>Entrepisos</t>
  </si>
  <si>
    <t>Entrepiso de 1´ s/tirantes de 2x6</t>
  </si>
  <si>
    <t>Tirante de 2x6 Pino Cepillado. Definir el largo.</t>
  </si>
  <si>
    <t>Entrepiso de fenolico s/perfil galvanizado</t>
  </si>
  <si>
    <t>Definir largo de los perfiles según apoyos.</t>
  </si>
  <si>
    <t>Cubiertas</t>
  </si>
  <si>
    <t>Colocación Cumbrera de Chapa Color</t>
  </si>
  <si>
    <t>Colocación Cumbrera de Chapa Galvanizada</t>
  </si>
  <si>
    <t>Colocación de membrana asfáltica con imprimación de superficie</t>
  </si>
  <si>
    <t>Forrado de Alero a Nivel c/Machimbre de Madera de 1/2</t>
  </si>
  <si>
    <t>Techo de Chapa Color Ondulada o Trapezoidal sobre Estructura de Madera Vista. (c/aislante y machimbre)</t>
  </si>
  <si>
    <t>Madera machimbrada a la vista</t>
  </si>
  <si>
    <t>Techo de Chapa Ondulada o Trapezoidal sobre Estructura de Madera Vista. (c/aislante y machimbre)</t>
  </si>
  <si>
    <t>Techo de Chapa Ondulada o Trapezoidal Sobre Estructura Metálica Oculta. (incluye aislante)</t>
  </si>
  <si>
    <t>Con perfiles C separados cada 1 metro colocados en una sola dirección</t>
  </si>
  <si>
    <t>Techo de Teja colonial sobre estructura de madera. (c/aislante sobre madera en bruto)</t>
  </si>
  <si>
    <t>estructura de madera en bruto.</t>
  </si>
  <si>
    <t>Techo de Teja francesa sobre estructura de madera. (c/aislante sobre madera en bruto)</t>
  </si>
  <si>
    <t>Instalaciones sanitarias</t>
  </si>
  <si>
    <t>*Biodigestor 1100 L Autolimpiable + Cámara de Registro de Lodos + Encimas PC3. Incluido Drenajes</t>
  </si>
  <si>
    <t>Capacidad en domicilios (Aguas Negras y Jabonosas): 5 personas</t>
  </si>
  <si>
    <t>Balcón c/canilla de servicio (Desagües pluviales)</t>
  </si>
  <si>
    <t>Baño (Agua caliente y fría)</t>
  </si>
  <si>
    <t>inodoro c/mochila, bidet, lavatorio y bañera</t>
  </si>
  <si>
    <t>Baño (Desagües primarios y secundarios)</t>
  </si>
  <si>
    <t>Baño completo (Desagües primarios y secundarios, agua caliente y fría)</t>
  </si>
  <si>
    <t>Inodoro c/mochila, bidet, lavatorio y bañera</t>
  </si>
  <si>
    <t>Cocina-Lavadero c/Termo o Calefon (Agua caliente y fría)</t>
  </si>
  <si>
    <t>pileta de cocina, pileta de lavadero y desagüe de lavarropas</t>
  </si>
  <si>
    <t>Cocina-Lavadero c/Termo o Calefon (Desagües primarios y secundarios, agua caliente y fría)</t>
  </si>
  <si>
    <t xml:space="preserve">pileta de cocina, pileta de lavadero y desague de lavarropas </t>
  </si>
  <si>
    <t>Cocina-Lavadero c/Termo o Calefon (Desagües primarios y secundarios)</t>
  </si>
  <si>
    <t>Conexión de Agua y Cloacas a la Red Domiciliaria</t>
  </si>
  <si>
    <t>se calcula un desarrollo de 20mts. lineales en agua y 10mts. lineales en cloaca para la conexión a la Red.</t>
  </si>
  <si>
    <t>Conexión Desagües Primarios hasta Red Cloacal (Hasta 6mts)</t>
  </si>
  <si>
    <t>Construcción de Cámara de Inspección 60x60 con modulo pre-moldeado y cojinetes de material</t>
  </si>
  <si>
    <t>Inst. de Agua, con cañería fusión por metro aéreo y engrampado</t>
  </si>
  <si>
    <t>No incluye materiales</t>
  </si>
  <si>
    <t>Inst. de Agua, con cañería fusión por metro canalizado</t>
  </si>
  <si>
    <t>Inst. de Agua, con cañería fusión por metro zanjeado</t>
  </si>
  <si>
    <t>Inst. de Cámara de Inspección plástica sobre mortero de asiento</t>
  </si>
  <si>
    <t>Inst. de Cámara Séptica Plástica</t>
  </si>
  <si>
    <t>Inst. de Cámara Séptica Premoldeada Cemento Modular</t>
  </si>
  <si>
    <t>Inst. de Pluvial hasta cordón cuneta por metro lineal (por tierra)</t>
  </si>
  <si>
    <t>Prueba Hidráulica Agua hasta 15 bares</t>
  </si>
  <si>
    <t>Prueba Hidráulica en Desagües (con Tapón Neumático)</t>
  </si>
  <si>
    <t xml:space="preserve">Subida de agua al tanque de reserva c/2 canillas de servicio, colector c/3 bajadas indep. </t>
  </si>
  <si>
    <t>Toilette (Agua fría y caliente)</t>
  </si>
  <si>
    <t>inodoro c/mochila y lavatorio</t>
  </si>
  <si>
    <t>Toilette (Desagües primarios y secundarios, agua caliente y fría)</t>
  </si>
  <si>
    <t>Inodoro c/mochila y lavatorio</t>
  </si>
  <si>
    <t>Toilette (Desagües primarios y secundarios)</t>
  </si>
  <si>
    <t>Instalaciones de gas</t>
  </si>
  <si>
    <t>Armado de Planta Reguladora</t>
  </si>
  <si>
    <t>Inst. en Epoxi completa. Cocina, termo y 3 calefactores (sin planos)</t>
  </si>
  <si>
    <t>Inst. en Epoxi por metro aéreo y engrampado</t>
  </si>
  <si>
    <t>Inst. en Epoxi por metro canalizado</t>
  </si>
  <si>
    <t>Inst. en Epoxi por metro zanjeado</t>
  </si>
  <si>
    <t>Inst. en Epoxi, boca adicional.</t>
  </si>
  <si>
    <t>Inst. en Fusión completa. Caldera, Horno y Anafe (sin planos)</t>
  </si>
  <si>
    <t>Inst. en Fusión completa. Cocina, termo y 3 calefactores (sin planos)</t>
  </si>
  <si>
    <t>Inst. en Fusión por metro aéreo y engrampado</t>
  </si>
  <si>
    <t>Inst. en Fusión por metro canalizado</t>
  </si>
  <si>
    <t>Inst. en Fusión por metro zanjeado</t>
  </si>
  <si>
    <t>Inst. en Fusión, boca adicional.</t>
  </si>
  <si>
    <t>Instalación eléctrica</t>
  </si>
  <si>
    <t xml:space="preserve">Colocación de artefacto, (con armado) </t>
  </si>
  <si>
    <t>No incluye el dicho artefacto. (solo mano de obra)</t>
  </si>
  <si>
    <t>Colocación de Plafón Led 12W</t>
  </si>
  <si>
    <t>Incluye material</t>
  </si>
  <si>
    <t>Colocación de Plafón Led 18w</t>
  </si>
  <si>
    <t>Colocación de Plafón Led 24w</t>
  </si>
  <si>
    <t>Inst. eléctrica para 30 bocas completa (incluye tablero seccional)</t>
  </si>
  <si>
    <t>Inst. eléctrica para 50 bocas completa (incluye tablero seccional)</t>
  </si>
  <si>
    <t>Inst. eléctrica, boca adicional iluminación</t>
  </si>
  <si>
    <t>Inst. eléctrica, boca adicional tomacorriente</t>
  </si>
  <si>
    <t>Carpetas</t>
  </si>
  <si>
    <t>Alisado de cemento para piso (Esp:2cm)</t>
  </si>
  <si>
    <t xml:space="preserve">Con Cal s/contrapiso (Esp: 2cm) </t>
  </si>
  <si>
    <t>Hidrofuga s/contrapiso (Esp: 2cm)</t>
  </si>
  <si>
    <t>Pisos Cerámico, Porcellanato y Loseta</t>
  </si>
  <si>
    <t>Cerámico 20x20</t>
  </si>
  <si>
    <t>Cerámico 40x40</t>
  </si>
  <si>
    <t>Cerámico 60x60</t>
  </si>
  <si>
    <t>Cerámico Símil Madera 22x90</t>
  </si>
  <si>
    <t>Loseta de Vereda 40x40 (Calcáreos)</t>
  </si>
  <si>
    <t>Loseta de Vereda 40x40 (Graníticos)</t>
  </si>
  <si>
    <t>Loseta de Vereda 40x40 (Piedra Lavada)</t>
  </si>
  <si>
    <t>Porcellanato 30x30</t>
  </si>
  <si>
    <t>Porcellanato 40x40</t>
  </si>
  <si>
    <t>Porcellanato 60x60</t>
  </si>
  <si>
    <t>Porcellanato 80x80</t>
  </si>
  <si>
    <t>Porcellanato Símil Madera 20x120</t>
  </si>
  <si>
    <t>Pisos Alfombra y Flotantes</t>
  </si>
  <si>
    <t>Alfombra</t>
  </si>
  <si>
    <t>Piso flotante, c/manta</t>
  </si>
  <si>
    <t>Pisos Alisado de Cemento, Microcemento, Atérmicos y Deck</t>
  </si>
  <si>
    <t xml:space="preserve">atérmico Borde Curvo </t>
  </si>
  <si>
    <t>Atérmico Borde Recto</t>
  </si>
  <si>
    <t>Cemento alisado</t>
  </si>
  <si>
    <t>Deck de madera</t>
  </si>
  <si>
    <t>Tablas de Guayubira de 1x4 sobre estructura de madera de 2x2</t>
  </si>
  <si>
    <t>Microcemento (esp.:2mm)</t>
  </si>
  <si>
    <t>Resistencia al desgaste. Sin necesidad de retirar piso o terminaciones existente. Color a elección.</t>
  </si>
  <si>
    <t>Zócalos y Contramarcos</t>
  </si>
  <si>
    <t>Contramarco de madera 1/2´ liso</t>
  </si>
  <si>
    <t>Zócalo Calcáreo H:10cm</t>
  </si>
  <si>
    <t>Zócalo Cemento alisado H:10cm</t>
  </si>
  <si>
    <t>Zócalo Cerámico H:7cm</t>
  </si>
  <si>
    <t>Zócalo Granítico H:10cm</t>
  </si>
  <si>
    <t>Zócalo Madera 3/4´ liso</t>
  </si>
  <si>
    <t>Zócalo Porcellanato H:7cm</t>
  </si>
  <si>
    <t>Revestimientos Cerámico, Porcellanato, Venecita y Refractario</t>
  </si>
  <si>
    <t>Refractario Esquinero corto 15 x 6 x 2.5cm.</t>
  </si>
  <si>
    <t>Refractario Tejuela 11,5 x 23 x 2 cm.</t>
  </si>
  <si>
    <t>Venecitas (común)</t>
  </si>
  <si>
    <t>Venecitas (vidrio)</t>
  </si>
  <si>
    <t>Revestimientos Piedra y Laja</t>
  </si>
  <si>
    <t>Laja Irregular La Rioja</t>
  </si>
  <si>
    <t>Laja Irregular Neuquén Zapala</t>
  </si>
  <si>
    <t>Laja Irregular San Juan</t>
  </si>
  <si>
    <t>Murete Rustico Piedra Bariloche</t>
  </si>
  <si>
    <t>Murete Rustico Piedra Neuquén Zapala</t>
  </si>
  <si>
    <t>Murete Rustico Piedra San Juan</t>
  </si>
  <si>
    <t>Murete Rustico Piedra San Luis</t>
  </si>
  <si>
    <t>Revestimientos Texturado</t>
  </si>
  <si>
    <t>Plástico Tipo Super Iggam</t>
  </si>
  <si>
    <t>Texturado 1 Travertino/Rulato (Fino)</t>
  </si>
  <si>
    <t>Revest. Decorativo Acrílico. Se aplica con llana plástica.</t>
  </si>
  <si>
    <t xml:space="preserve">Texturado 2 Travertino/Rulato (Medio) </t>
  </si>
  <si>
    <t>Texturado 3 Travertino/Rulato (Grueso)</t>
  </si>
  <si>
    <t>Texturado 4 Travertino/Rulato (Extra-Grueso)</t>
  </si>
  <si>
    <t>Texturado Pétreo</t>
  </si>
  <si>
    <t>Revest. Acrílico impermeable, imitación granito. Realizado con llana plástica.</t>
  </si>
  <si>
    <t>Cielorrasos y Molduras</t>
  </si>
  <si>
    <t>Moldura de tergopol 25x20mm. (lista p/pintar)</t>
  </si>
  <si>
    <t>Moldura de yeso. (simple)</t>
  </si>
  <si>
    <t>Revestimiento en machimbre de 1/2´</t>
  </si>
  <si>
    <t>Revoque Grueso y fino. (Aplicado)</t>
  </si>
  <si>
    <t>bajo losa</t>
  </si>
  <si>
    <t xml:space="preserve">Revoque grueso y fino. (Armado) </t>
  </si>
  <si>
    <t>Colocación de tirantillo, metal desplegado, revoque grueso y fino</t>
  </si>
  <si>
    <t>Yeso. (Aplicado)</t>
  </si>
  <si>
    <t>Yeso. (Armado)</t>
  </si>
  <si>
    <t>Colocación de tirantillo, metal desplegado y yeso</t>
  </si>
  <si>
    <t>Escaleras y Barandas</t>
  </si>
  <si>
    <t>Baranda de Madera con tensores y 4 lineas de cable de acero inoxidable.</t>
  </si>
  <si>
    <t>Baranda Pasamanos de Acero Inoxidable</t>
  </si>
  <si>
    <t>Baranda Pasamanos de Madera</t>
  </si>
  <si>
    <t>Carpeta cementicia. (P/escalera de H°A°)</t>
  </si>
  <si>
    <t>Escalera de estructura de hierro con escalones de madera. (indicar cantidad de escalones)</t>
  </si>
  <si>
    <t>Costo por escalón</t>
  </si>
  <si>
    <t>Nariz de escalera de 2¨x 3´ en guayubira</t>
  </si>
  <si>
    <t>Revest., alzada y pedada de cerámica</t>
  </si>
  <si>
    <t>Revest., alzada y pedada de porcellanato</t>
  </si>
  <si>
    <t>Construcción en Seco</t>
  </si>
  <si>
    <t>Cielorraso con placas de yeso</t>
  </si>
  <si>
    <t>Cielorraso Desmontable Deco Clasic Durlock 0,60 x 0,60</t>
  </si>
  <si>
    <t>Cielorraso Desmontable Deco Clasic Durlock 0,60 x 1,20</t>
  </si>
  <si>
    <t>Revestimiento sobre perfil Omega</t>
  </si>
  <si>
    <t>cada 48 cm. Junta tomada con masilla y cinta.</t>
  </si>
  <si>
    <t>Revoque Seco Durlock</t>
  </si>
  <si>
    <t>Tabique espesor 9.5cm</t>
  </si>
  <si>
    <t>Tabique espesor 9.5cm c/aislación acústica</t>
  </si>
  <si>
    <t>Tabique espesor 9.5cm mixto</t>
  </si>
  <si>
    <t>Steel Framing</t>
  </si>
  <si>
    <t>Tabique Externo Portante Sistema EIFS c/ Aislacion Térmico-Acústica (Panel de 2,40 x 2,40)</t>
  </si>
  <si>
    <t>Tabique Externo Portante Sistema Siding c/ Aislacion Térmico-Acústica (Panel de 2,40 x 2,40)</t>
  </si>
  <si>
    <t>Tabique Interno NO Portante c/ Aislacion Acústica (Panel de 2,40 x 2,40)</t>
  </si>
  <si>
    <t>Tabique Interno Portante c/ Aislacion Acústica (Panel de 2,40 x 2,40)</t>
  </si>
  <si>
    <t>Barniz s/madera y/o abertura.</t>
  </si>
  <si>
    <t>3 manos.</t>
  </si>
  <si>
    <t>Cielorraso de yeso y/o cal</t>
  </si>
  <si>
    <t>enduido parcial, imprimación y 3 manos.</t>
  </si>
  <si>
    <t>Esmalte sintético s/ abertura.</t>
  </si>
  <si>
    <t>Impermeabilizacion de losa. (terraza)</t>
  </si>
  <si>
    <t>3 manos de membrana liquida. Incluye velo.</t>
  </si>
  <si>
    <t>Impregnante s/madera y/o abertura.</t>
  </si>
  <si>
    <t>3 manos</t>
  </si>
  <si>
    <t>Mampostería de Ladrillo común</t>
  </si>
  <si>
    <t>Paredes exteriores</t>
  </si>
  <si>
    <t>imprimación y 3 manos.</t>
  </si>
  <si>
    <t>Paredes interiores</t>
  </si>
  <si>
    <t>Marmolería/Granitos</t>
  </si>
  <si>
    <t>Mesada de Granito Gris Mara (Ancho: 0,60)</t>
  </si>
  <si>
    <t>Mesada de Granito y/o Mármol</t>
  </si>
  <si>
    <t>Mesada de Granito y/o Mármol c/Pileta de Cocina Doble ( 0.60 x 1.20)</t>
  </si>
  <si>
    <t>Sector pileta (0,72 m2) resto completar con mesada de granito sola</t>
  </si>
  <si>
    <t>Mesada de Granito y/o Mármol c/Pileta de Cocina Simple (0.60 x 1.20)</t>
  </si>
  <si>
    <t>Perforado de Granito y Pegado de Bacha Doble</t>
  </si>
  <si>
    <t>Perforado de Granito y Pegado de Bacha Simple</t>
  </si>
  <si>
    <t>Zócalo de Granito Gris Mara (Alt. 5 cm)</t>
  </si>
  <si>
    <t>Amoblamientos para cocinas, placares y vestidores</t>
  </si>
  <si>
    <t>Alacena de aglomerado enchapado, enlaminado plástico c/ estante y cajonera</t>
  </si>
  <si>
    <t>Bajo mesada aglomerado enchapado, enlaminado plástico c/ estante y cajonera</t>
  </si>
  <si>
    <t>Placard 1.50x2.30x0.60 melamina 18mm, color blanco.</t>
  </si>
  <si>
    <t>Medidas: ancho x Alto x profundidad. Tapacantos de PVC. Cajones con guías telescópicas. Barral de hierro cromado. Puertas corredizas con perfiles de aluminio anodizado. El costo incluye: materiales, armado e instalación.</t>
  </si>
  <si>
    <t>Placard 2.00x2.30x0.60 melamina 18mm, color blanco.</t>
  </si>
  <si>
    <t>Placard 2.40x2.30x0.60 melamina 18mm, color blanco.</t>
  </si>
  <si>
    <t>Vestidor 1.50x2.30x0.45 melamina 18mm, color blanco.</t>
  </si>
  <si>
    <t>Vestidor 2.00x2.30x0.45 melamina 18mm, color blanco.</t>
  </si>
  <si>
    <t>Vestidor 2.40x2.30x0.45 melamina 18mm, color blanco.</t>
  </si>
  <si>
    <t>Aberturas de madera</t>
  </si>
  <si>
    <t xml:space="preserve">Portón Garage 2.40 x 2.00 </t>
  </si>
  <si>
    <t>Puerta de Entrada 0,80 x 2.00 (Exterior)</t>
  </si>
  <si>
    <t>Puerta de Entrada Estilo Colonial 0.90 x 2.00 (Exterior)</t>
  </si>
  <si>
    <t>Puerta de Entrada Estilo Colonial 1.60 x 2.00 (Exterior)</t>
  </si>
  <si>
    <t>Puerta Placa Corrediza de Embutir, hoja 60/70. (Interior)</t>
  </si>
  <si>
    <t>Puerta Placa, hoja 60/70. (Interior)</t>
  </si>
  <si>
    <t>Ventana 1.50 x 1.10 Corrediza/De abrir</t>
  </si>
  <si>
    <t>Ventana 1.50 x 1.10 Corrediza/De abrir c/cortina de PVC</t>
  </si>
  <si>
    <t>Ventana balcón 1.60 x 2.00 Corrediza</t>
  </si>
  <si>
    <t>Ventana balcón 1.60 x 2.00 Corrediza c/cortina de PVC</t>
  </si>
  <si>
    <t>Ventiluz 1.00 x 0.50 corredizo</t>
  </si>
  <si>
    <t>Aberturas de aluminio</t>
  </si>
  <si>
    <t>Linea Herrero. Puerta de Entrada 0,80 x 2.00 (Exterior)</t>
  </si>
  <si>
    <t>Linea Herrero. Ventana 1.50 x 1.10 Corrediza c/Cortina de PVC c/Vidrio Simple 4mm.</t>
  </si>
  <si>
    <t>Linea Herrero. Ventana 1.50 x 1.10 Corrediza c/Vidrio Simple 4mm.</t>
  </si>
  <si>
    <t>Linea Herrero. Ventana Balcón 1.60 x 2.00 Corrediza c/Cortina de PVC c/Vidrio Simple 4mm.</t>
  </si>
  <si>
    <t>Linea Herrero. Ventana Balcón 1.60 x 2.00 Corrediza c/Vidrio Simple 4mm.</t>
  </si>
  <si>
    <t>Linea Herrero. Ventiluz 1.00 x 0.50 Corredizo c/Vidrio Simple 4mm.</t>
  </si>
  <si>
    <t>Linea Modena. Portón Garaje 2.40 x 2.00</t>
  </si>
  <si>
    <t>Linea Modena. Puerta de Entrada 0,80 x 2.00 (Exterior)</t>
  </si>
  <si>
    <t>Linea Modena. Puerta de Entrada Modelo Vidriado 0,80 x 2.00 (Exterior) c/DVH</t>
  </si>
  <si>
    <t>Linea Modena. Ventana 0.60 x 1.10 Oscilobatiente c/DVH</t>
  </si>
  <si>
    <t>Linea Modena. Ventana 0.60 x 1.10 Paño Fijo c/DVH</t>
  </si>
  <si>
    <t>Linea Modena. Ventana 0.60 x 1.50 Paño Fijo c/DVH</t>
  </si>
  <si>
    <t>Linea Modena. Ventana 1.50 x 1.10 Corrediza c/cortina de PVC c/DVH</t>
  </si>
  <si>
    <t>Linea Modena. Ventana 1.50 x 1.10 Corrediza c/DVH</t>
  </si>
  <si>
    <t>Linea Modena. Ventana 2.00 x 0.60 Corrediza c/DVH</t>
  </si>
  <si>
    <t>Linea Modena. Ventana 2.00 x 1.50 Paño Fijo c/DVH</t>
  </si>
  <si>
    <t>Linea Modena. Ventana 3.00 x 1.50 Paño Fijo c/DVH</t>
  </si>
  <si>
    <t>Linea Modena. Ventana Balcón 1.60 x 2.00 Corrediza c/Cortina de PVC c/DVH</t>
  </si>
  <si>
    <t>Linea Modena. Ventana Balcón 1.60 x 2.00 Corrediza c/DVH</t>
  </si>
  <si>
    <t>Linea Modena. Ventana Balcón 2.00 x 2.00 Corrediza c/Cortina de PVC c/DVH</t>
  </si>
  <si>
    <t>Linea Modena. Ventana Balcón 2.00 x 2.00 Corrediza c/DVH</t>
  </si>
  <si>
    <t>Linea Modena. Ventiluz 1.00 x 0.50 Corredizo c/DVH.</t>
  </si>
  <si>
    <t>Aberturas de PVC</t>
  </si>
  <si>
    <t>PVC Estándar. Puerta de Entrada Seguridad 0.80 x 2.00</t>
  </si>
  <si>
    <t>PVC Estándar. Puerta Vidriada 0.80 x 2.00 c/DVH</t>
  </si>
  <si>
    <t>PVC Estándar. Ventana Balcón Corrediza 1.50 x 2.00 c/DVH</t>
  </si>
  <si>
    <t>PVC Estándar. Ventana Balcón Corrediza 2.00 x 2.00 c/DVH</t>
  </si>
  <si>
    <t>PVC Estándar. Ventana Corrediza 0.60 x 2.00 c/DVH</t>
  </si>
  <si>
    <t>PVC Estándar. Ventana Corrediza 1.50 x 1.10 c/DVH</t>
  </si>
  <si>
    <t>PVC Estándar. Ventana Oscilobatiente 0.60 x 1.10 c/DVH</t>
  </si>
  <si>
    <t>PVC Estándar. Ventana Oscilobatiente 0.60 x 1.50 c/DVH</t>
  </si>
  <si>
    <t>PVC Estándar. Ventana Paño Fijo 0.60 x 1.10 c/DVH</t>
  </si>
  <si>
    <t>PVC Estándar. Ventana Paño Fijo 0.60 x 1.50 c/DVH</t>
  </si>
  <si>
    <t>PVC Estándar. Ventana Paño Fijo 2.00 x 1.50 c/DVH</t>
  </si>
  <si>
    <t>PVC Estándar. Ventiluz Corrediza 1.20 x 0.60 c/DVH</t>
  </si>
  <si>
    <t>Cristales</t>
  </si>
  <si>
    <t>Vidrio de 4mm</t>
  </si>
  <si>
    <t>Vidrio de 6mm</t>
  </si>
  <si>
    <t>Vidrio Laminado 3+3</t>
  </si>
  <si>
    <t>Colocación de artefactos sanitarios, accesorios y grifería</t>
  </si>
  <si>
    <t>Baño Completo (inodoro c/mochila, bidet, lavatorio y bañera)</t>
  </si>
  <si>
    <t>Baño Completo c/Ducha (inodoro c/mochila, bidet, lavatorio y receptáculo ducha)</t>
  </si>
  <si>
    <t>Lavadero y cocina</t>
  </si>
  <si>
    <t>Toilette c/depósito a mochila</t>
  </si>
  <si>
    <t>Colocación de artefactos a gas</t>
  </si>
  <si>
    <t>Colocación Anafe, (sin ventilación)</t>
  </si>
  <si>
    <t>Colocación Caldera Dual, (con ventilación)</t>
  </si>
  <si>
    <t>Incluye puesta en funcionamiento y ventilación.</t>
  </si>
  <si>
    <t>Colocación Calefactor 3000 cal., (tiro natural)</t>
  </si>
  <si>
    <t>Colocación Calefactor 5000 cal., (tiro natural)</t>
  </si>
  <si>
    <t>Colocación Calefactor sin salida</t>
  </si>
  <si>
    <t>Colocación Calefactor TBU (hasta 6mts)</t>
  </si>
  <si>
    <t>Colocación Calefon 14 lts, (con ventilación)</t>
  </si>
  <si>
    <t>Colocación Calefon 15 lts, (con ventilación)</t>
  </si>
  <si>
    <t>Colocación Cocina Industrial, (Sin Ventilación)</t>
  </si>
  <si>
    <t>Colocación Cocina, (sin ventilación)</t>
  </si>
  <si>
    <t>Colocación Horno, (sin ventilación)</t>
  </si>
  <si>
    <t>Colocación Leño</t>
  </si>
  <si>
    <t>Colocación Medidor con Regulador</t>
  </si>
  <si>
    <t>Colocación Pantalla IR</t>
  </si>
  <si>
    <t>Colocación Par de rejas de ventilación</t>
  </si>
  <si>
    <t>Colocación Termotanque 80lts., (con ventilación)</t>
  </si>
  <si>
    <t xml:space="preserve">Calefacción. (Piso Radiante, Radiadores y Split)  </t>
  </si>
  <si>
    <t xml:space="preserve">Calefacción por Piso Radiante para vivienda de 80m2 (una planta) </t>
  </si>
  <si>
    <t>Separación del tubo 25 cm. (no incluye albanileria)</t>
  </si>
  <si>
    <t>Calefacción por Radiadores para vivienda de 120m2 (dos plantas)</t>
  </si>
  <si>
    <t>Instalación completa. Incluye colocacion de 8 radiadores y 2 toalleros.</t>
  </si>
  <si>
    <t xml:space="preserve">Calefacción por Radiadores para vivienda de 80 m2 (una planta) </t>
  </si>
  <si>
    <t>Instalación completa. Incluye colocación de 5 radiadores y 1 toallero.</t>
  </si>
  <si>
    <t>Colocación de Radiador (12 elementos.)</t>
  </si>
  <si>
    <t>Colocación de Radiador (2 elementos.)</t>
  </si>
  <si>
    <t>Colocación de Radiador (3 elementos.)</t>
  </si>
  <si>
    <t>Colocación de Radiador (6 elementos.)</t>
  </si>
  <si>
    <t>Colocación de Radiador (9 elementos.)</t>
  </si>
  <si>
    <t>Colocación de Radiador-Toallero</t>
  </si>
  <si>
    <t>Colocación de split frió/calor 2350 frigorías</t>
  </si>
  <si>
    <t>Incluye ménsula para unidad exterior del equipo</t>
  </si>
  <si>
    <t>Colocación de split frió/calor 4500 frigorías</t>
  </si>
  <si>
    <t>Incluye mensula para unidad exterior del equipo</t>
  </si>
  <si>
    <t>Desarrollo de Cañería Sistema Bi-Tubo por Par de Boca Sistema Pex (Radiadores)</t>
  </si>
  <si>
    <t>Desarrollo de Cañería Sistema Bi-Tubo por Par de Boca Sistema PPN Aluminio (Radiadores)</t>
  </si>
  <si>
    <t>Desarrollo por M2 Piso Radiante sobre Malla Sima</t>
  </si>
  <si>
    <t>Desarrollo por M2 Piso Radiante sobre Placas de EPS</t>
  </si>
  <si>
    <t>Prueba Hidráulica hasta 20 bares</t>
  </si>
  <si>
    <t>Puesta en Funcionamiento de Sistema de Calefacción (Purga y Arranque de Caldera hasta 10 Radiadores)</t>
  </si>
  <si>
    <t>Puesta en Funcionamiento de Sistema de Calefacción (Purga y Arranque de Caldera para Piso Radiante hasta 80m2)</t>
  </si>
  <si>
    <t>Herrería, Cercos y Rejas</t>
  </si>
  <si>
    <t>Cerco de alambre romboidal con poste de madera. Altura 1,50 mts.</t>
  </si>
  <si>
    <t>Cerco Olímpico de Alambre Romboidal con poste de cemento y 3 hilos de alambre de pua</t>
  </si>
  <si>
    <t>Portón Doble Hoja de Caño Estructural y Alambre tejido. 3,00 x 1,80 mts.</t>
  </si>
  <si>
    <t>Puerta de Caño Estructural y Alambre tejido. 0,90 x 1,80 mts.</t>
  </si>
  <si>
    <t>Puerta Tranquera de Madera Doble Hoja. 3,00 x 1,00 mts</t>
  </si>
  <si>
    <t>Tablas de 1 x 4 madera dura Guayubira. Pintada con Cetol color cedro. Incluye herrajes</t>
  </si>
  <si>
    <t>Puerta Tranquera de Madera. 1,00 x 1,00 mts</t>
  </si>
  <si>
    <t>Tablas de 1 x 4 en madera dura Guayubira. Pintada con Cetol color cedro. Incluye herrajes</t>
  </si>
  <si>
    <t>Inst. Kit Solar Completo con Panel 1x160 Energia Usb K4</t>
  </si>
  <si>
    <t>1 Panel 160w + 1 Regulador de carga 10 A + 1 batería 110 Ah + 1 inversor de 12V a 220V (1000W) + Cables y Bornes + Soporte de Panel</t>
  </si>
  <si>
    <t>Inst. Kit Solar Completo con Panel 2x270 Energía Casas 1s</t>
  </si>
  <si>
    <t>2 Paneles 270w + 2 batería 110 Ah + 1 inversor/Cargador de 24V a 220V (3000W/50A PWM inteligente) + Cables y Bornes + Soportes de Paneles</t>
  </si>
  <si>
    <t>Inst. Kit Solar Completo con Panel 2x270 Energía Casas 3s</t>
  </si>
  <si>
    <t>4 Paneles 270w + 2 baterías solares 220 Ah + 1 inversor/Cargador de 24V a 220V (3000W/50A PWM inteligente) + Cables y Bornes + Soportes de Paneles</t>
  </si>
  <si>
    <t>Inst. Termotanque Ac. Inox. solar 150 lts. + Kit Eléct. + Barra Mg.</t>
  </si>
  <si>
    <t>Cap. 3 personas</t>
  </si>
  <si>
    <t>Inst. Termotanque Ac. Inox. solar 200 lts. + Kit Eléct. + Barra Mg.</t>
  </si>
  <si>
    <t>Cap. 4/5 personas</t>
  </si>
  <si>
    <t>Inst. Termotanque Ac. Inox. solar 300 lts. + Kit Eléct. + Barra Mg.</t>
  </si>
  <si>
    <t>Cap. 6/7 personas</t>
  </si>
  <si>
    <t>Parrillas, Fogones y Piscinas</t>
  </si>
  <si>
    <t>Colocación de Climatizador de Piscina</t>
  </si>
  <si>
    <t xml:space="preserve">Fogón (sin tiraje) Medidas: 0.80 x 1,50mts. </t>
  </si>
  <si>
    <t xml:space="preserve">Fogón con ladrillos comunes. Revestimiento de Ladrillos Refractarios y emparrillado de hierros negro redondo. </t>
  </si>
  <si>
    <t>Parrilla de Material Tradicional con Pulmón. Medidas: 1,00 x 1,50mts</t>
  </si>
  <si>
    <t>Parrilla de ladrillos comunes c/pulmón. Revestimiento interno con ladrillos refractarios. Hierros en Angulo enlozados.</t>
  </si>
  <si>
    <t>Parrilla Premoldeada 1,45 mts</t>
  </si>
  <si>
    <t>Instalada en Situ (No incluye Flete)</t>
  </si>
  <si>
    <t>Piscina de 3,00 x 6,00 mts. (Piso de Hormigón y paredes de ladrillo común de 30cm.)</t>
  </si>
  <si>
    <t>Piscina con Gabinete. (Incluye Bombas, Filtros, Dosificador) Primera Marca.</t>
  </si>
  <si>
    <t>Limpieza y Ayuda de Gremios</t>
  </si>
  <si>
    <t>Ayuda de gremios</t>
  </si>
  <si>
    <t>Limpieza final</t>
  </si>
  <si>
    <t>Limpieza periódica</t>
  </si>
  <si>
    <t>costo mensual</t>
  </si>
  <si>
    <t>Tramites, Mantenimiento y/o Refacciones de Gas</t>
  </si>
  <si>
    <t>Cambio de Diafragma de calentador de agua</t>
  </si>
  <si>
    <t>Cambio de Termocupla de calefactor sin salida</t>
  </si>
  <si>
    <t>Cambio de Termocupla de calefactor TB</t>
  </si>
  <si>
    <t>Cambio de Termocupla de calentador de agua</t>
  </si>
  <si>
    <t>Cambio de Termocupla de cocina</t>
  </si>
  <si>
    <t>Conversión de Artefacto de GLP a GN</t>
  </si>
  <si>
    <t>Detección de fuga de gas</t>
  </si>
  <si>
    <t>Informe de Conformidad de Inmobiliarias</t>
  </si>
  <si>
    <t>Limpieza Calefactor sin salida</t>
  </si>
  <si>
    <t>Limpieza Calefactor TBH</t>
  </si>
  <si>
    <t>Limpieza Calefactor TBU</t>
  </si>
  <si>
    <t>Limpieza Calefon</t>
  </si>
  <si>
    <t>Limpieza Termotanque</t>
  </si>
  <si>
    <t>Plano completo en Autocad</t>
  </si>
  <si>
    <t>Prueba Manométrica hasta 3 artefactos</t>
  </si>
  <si>
    <t>Prueba Manométrica hasta 6 artefactos</t>
  </si>
  <si>
    <t>Tramites completos de Inst. de gas (planos, fact, parcial, final) 10 bocas.</t>
  </si>
  <si>
    <t>Tramites completos de Inst. de gas (planos, fact, parcial, final) 3 bocas.</t>
  </si>
  <si>
    <t>Tramites Factibilidad</t>
  </si>
  <si>
    <t>Tramites para Inspección final</t>
  </si>
  <si>
    <t>Tramites para Inspección parcial</t>
  </si>
  <si>
    <t>Mantenimiento y/o Refacciones en Instalaciones Sanitarias</t>
  </si>
  <si>
    <t>Anulación de Deposito de Embutir por Mochila de Inodoro</t>
  </si>
  <si>
    <t>Cambio de Ánodo de Termotanque</t>
  </si>
  <si>
    <t>cambio de Cuadro de Ducha (Sin Albañilería)</t>
  </si>
  <si>
    <t>Cambio de Cuerito de Grifería</t>
  </si>
  <si>
    <t>Cambio de Flexible en Artefacto</t>
  </si>
  <si>
    <t>Cambio de Monocomando de Cocina</t>
  </si>
  <si>
    <t>Cambio de Termotanque (Con Modificación en la Ventilación)</t>
  </si>
  <si>
    <t>Cambio de Termotanque (Sin Modificar Ventilación)</t>
  </si>
  <si>
    <t>Cambio de Válvula de Cierre de Tanque de Reserva (Flotante)</t>
  </si>
  <si>
    <t>Colocación de Tanque de Reserva en Planta Alta</t>
  </si>
  <si>
    <t>Colocación de Tanque de Reserva en Planta Baja</t>
  </si>
  <si>
    <t>Desobstrucción Desagües Horizontales</t>
  </si>
  <si>
    <t>Desobstrucción Desagües Verticales</t>
  </si>
  <si>
    <t>Instalación Bomba Presurizadora Bajo Tanque con By-Pass (Hasta 3 Bajadas)</t>
  </si>
  <si>
    <t>Instalación Bomba Presurizadora Pre-Calentador de Agua</t>
  </si>
  <si>
    <t>Instalación Cisterna con Bomba Elevadora (Con Automatización)</t>
  </si>
  <si>
    <t>Instalación Cisterna con Bomba Elevadora (Sin Automatización)</t>
  </si>
  <si>
    <t>Limpieza de Sifón de Bacha Bajo Mesada</t>
  </si>
  <si>
    <t>Limpieza de Tanque de Reserva de Edificio</t>
  </si>
  <si>
    <t>Limpieza de Tanque de Reserva hasta 1.000 lts en Planta Alta</t>
  </si>
  <si>
    <t>Limpieza de Tanque de Reserva hasta 1.000 lts en Planta Baja</t>
  </si>
  <si>
    <t>Recambio de Tanque de Fibrocemento por Plástico en Planta Alta</t>
  </si>
  <si>
    <t>Recambio de Tanque de Fibrocemento por Plástico en Planta Baja</t>
  </si>
  <si>
    <t>Calculo, Mantenimiento y/o Refacciones en Calefacción</t>
  </si>
  <si>
    <t>Automatización por Termostato</t>
  </si>
  <si>
    <t>Balance Térmico para Piso Radiante</t>
  </si>
  <si>
    <t>Calculo y Balance Térmico para Radiadores (Hasta 80m2)</t>
  </si>
  <si>
    <t>Cambio de Bomba Circuladora</t>
  </si>
  <si>
    <t>Cambio de Caldera</t>
  </si>
  <si>
    <t>Cambio de Flujostato</t>
  </si>
  <si>
    <t>Cambio de Forzador</t>
  </si>
  <si>
    <t>Cambio de Placa Electrónica</t>
  </si>
  <si>
    <t>Cambio de Presostato de Agua</t>
  </si>
  <si>
    <t>Cambio de Presostato de Humo</t>
  </si>
  <si>
    <t>Cambio de Serpentina</t>
  </si>
  <si>
    <t>Cambio de Sonda NTC</t>
  </si>
  <si>
    <t>Cambio de Trampa de Condensado</t>
  </si>
  <si>
    <t>Cambio de Válvula de Gas</t>
  </si>
  <si>
    <t>Cambio de Vaso de Expansion Desmontando Caldera</t>
  </si>
  <si>
    <t>Detección de Perdida en Sistema de Calefacción (Sin Reparación)</t>
  </si>
  <si>
    <t>Limpieza Radiador de Aluminio (hasta 12 velas)</t>
  </si>
  <si>
    <t>Limpieza Radiador de Fundición (hasta 12 velas)</t>
  </si>
  <si>
    <t>Reparación Caldera-Diagnostico de Falla (Sin Repuestos)</t>
  </si>
  <si>
    <t>Colocación de Babeta Perimetral Color Amurada/Atornillada</t>
  </si>
  <si>
    <t>Colocación de Babeta Perimetral Galvanizada Amurada/Atornillada</t>
  </si>
  <si>
    <t>Colocación de Bajada de Desagües en Chapa Galvanizada Vista Engrampada</t>
  </si>
  <si>
    <t>Colocación de Canaleta Exterior Galvanizada Vista</t>
  </si>
  <si>
    <t>Colocación de Canaleta Interna Contramuro Galvanizada</t>
  </si>
  <si>
    <t>Colocación de Canaleta Interna Conversa Galvanizada</t>
  </si>
  <si>
    <t>Colocación de Cenefa Decorativa Galvanizada</t>
  </si>
  <si>
    <t>Colocación de Recibidor/Embudo de Chapa Galvanizada</t>
  </si>
  <si>
    <t>NOMBRE</t>
  </si>
  <si>
    <t>CATEGORIA</t>
  </si>
  <si>
    <t>DESCRIPCION</t>
  </si>
  <si>
    <t>UNIDAD</t>
  </si>
  <si>
    <t>PRECIO MO</t>
  </si>
  <si>
    <t>PRECIO MAT</t>
  </si>
  <si>
    <t>AJUSTE %</t>
  </si>
  <si>
    <t>ACTIVO</t>
  </si>
  <si>
    <t>PRECIO TOTAL</t>
  </si>
  <si>
    <t>Retiro de revestimientos en pared</t>
  </si>
  <si>
    <t>Retiro de pisos</t>
  </si>
  <si>
    <t>Picado de revoque</t>
  </si>
  <si>
    <t>Demolicion de pared</t>
  </si>
  <si>
    <t>Tabique de ladrillos hueco de 8x18x33</t>
  </si>
  <si>
    <t>Tabique de ladrillos hueco de 12x18x33</t>
  </si>
  <si>
    <t>Banquina (e=10 cm)</t>
  </si>
  <si>
    <t>Contrapiso de cascote sobre losa (e=10 cm)</t>
  </si>
  <si>
    <t>Membrana asfáltica sin aluminio</t>
  </si>
  <si>
    <t>Membrana asfáltica con aluminio</t>
  </si>
  <si>
    <t>Membrana asfáltica geotextil</t>
  </si>
  <si>
    <t>Pintura asfáltica base acuosa</t>
  </si>
  <si>
    <t>Pintura asfáltica base solvente</t>
  </si>
  <si>
    <t>Film polietileno 200µ</t>
  </si>
  <si>
    <t>Carpeta de cemento 1:3 (e=2 cm)</t>
  </si>
  <si>
    <t>Carpeta de cemento 1:3 c/hidrófugo (e=2 cm)</t>
  </si>
  <si>
    <t>Revoque grueso + revoque fino (e grueso=2 cm)</t>
  </si>
  <si>
    <t>Revoque grueso + revoque fino c/hidrófugo (e grueso=2 cm)</t>
  </si>
  <si>
    <t>Revoque grueso + enlucido de yeso (e grueso=2 cm)</t>
  </si>
  <si>
    <t>Revoque grueso + enlucido de yeso c/hidrófugo (e grueso=2 cm)</t>
  </si>
  <si>
    <t>Engrosado de yeso + enlucido de yeso (e engrosado=2 cm)</t>
  </si>
  <si>
    <t>Cerámica en piso c/Sikaceram Flexible</t>
  </si>
  <si>
    <t>Cerámica en piso c/Sikaceram Impermeable</t>
  </si>
  <si>
    <t>Porcelanato en piso c/Sikaceram Flexible</t>
  </si>
  <si>
    <t>Porcelanato en piso c/Sikaceram Impermeable</t>
  </si>
  <si>
    <t>Cerámica en pared c/Sikaceram Flexible</t>
  </si>
  <si>
    <t>Cerámica en pared c/Sikaceram Impermeable</t>
  </si>
  <si>
    <t>Porcelanato en pared c/Sikaceram Flexible</t>
  </si>
  <si>
    <t>Porcelanato en pared c/Sikaceram Impermeable</t>
  </si>
  <si>
    <t>Tabique simple con montantes cada 40cm – sin aislación</t>
  </si>
  <si>
    <t>Tabique simple con montantes cada 40cm – con rollo de lana de vidrio</t>
  </si>
  <si>
    <t>Tabique doble exterior con montantes cada 40cm – con rollo de lana de vidrio y placa anti humedad de un lado</t>
  </si>
  <si>
    <t>Tabique doble con montantes cada 40cm – con rollo de lana de vidrio y placa anti humedad de un lado</t>
  </si>
  <si>
    <t>Cielorraso junta tomada estructura 35mm – sin aislación</t>
  </si>
  <si>
    <t>Cielorraso junta tomada estructura 35mm – con rollo de lana de vidrio</t>
  </si>
  <si>
    <t>Enduido plástico interior mate (2 manos)</t>
  </si>
  <si>
    <t>Látex interior mate (3 manos)</t>
  </si>
  <si>
    <t>Látex interior satinado (3 manos)</t>
  </si>
  <si>
    <t>Látex exterior mate (3 manos)</t>
  </si>
  <si>
    <t>Látex exterior satinado (3 manos)</t>
  </si>
  <si>
    <t>Esmalte sintético pared interior brillante (3 manos)</t>
  </si>
  <si>
    <t>Esmalte sintético pared interior satinado (3 manos)</t>
  </si>
  <si>
    <t>Esmalte sintético sobre madera brillante (3 manos)</t>
  </si>
  <si>
    <t>Esmalte sintético sobre madera satinado (3 manos)</t>
  </si>
  <si>
    <t>Esmalte sintético sobre metal brillante (3 manos)</t>
  </si>
  <si>
    <t>Esmalte sintético sobre metal satinado (3 manos)</t>
  </si>
  <si>
    <t>Revestimiento texturado exterior fino (2 mano)</t>
  </si>
  <si>
    <t>Revestimiento texturado exterior grueso (1 mano)</t>
  </si>
  <si>
    <t>TAREA</t>
  </si>
  <si>
    <t>MATERIAL</t>
  </si>
  <si>
    <t>STD MAT</t>
  </si>
  <si>
    <t>CANTIDAD</t>
  </si>
  <si>
    <t>RUBRO</t>
  </si>
  <si>
    <t>SUBRUBRO</t>
  </si>
  <si>
    <t>CONSUMIBLE</t>
  </si>
  <si>
    <t>EQUVALENTE MDO</t>
  </si>
  <si>
    <t>EQUVALENTE MAT</t>
  </si>
  <si>
    <t>$MAT</t>
  </si>
  <si>
    <t>m2</t>
  </si>
  <si>
    <t>MANO DE OBRA POR RETIRO DE CERAMICOS</t>
  </si>
  <si>
    <t>U</t>
  </si>
  <si>
    <t>Demolicion</t>
  </si>
  <si>
    <t>Mano de obra por picado de revoque</t>
  </si>
  <si>
    <t>Mano de obra por demolicion</t>
  </si>
  <si>
    <t>LADRILLOS HUECOS DE 8 CM (U)</t>
  </si>
  <si>
    <t>Albañilería</t>
  </si>
  <si>
    <t>Muros</t>
  </si>
  <si>
    <t>NO</t>
  </si>
  <si>
    <t>CEMENTO ALBAÑILERÍA (KG)</t>
  </si>
  <si>
    <t>KG</t>
  </si>
  <si>
    <t>ARENA (M3)</t>
  </si>
  <si>
    <t>M3</t>
  </si>
  <si>
    <t>CAL HIDRATADA (KG)</t>
  </si>
  <si>
    <t>HIERRO ADN Ø6MM (ML)</t>
  </si>
  <si>
    <t>ML</t>
  </si>
  <si>
    <t>SI</t>
  </si>
  <si>
    <t>LADRILLOS HUECOS DE 12 CM (U)</t>
  </si>
  <si>
    <t>M2</t>
  </si>
  <si>
    <t>MEMBRANA ASFÁLTICA SIN ALUMINIO (M2)</t>
  </si>
  <si>
    <t>Contrapisos - Aislaciones</t>
  </si>
  <si>
    <t>MEMBRANA ASFÁLTICA CON ALUMINIO (M2)</t>
  </si>
  <si>
    <t>PINTURA ASFÁLTICA ACUOSA (KG)</t>
  </si>
  <si>
    <t>PINTURA ASFÁLTICA SOLVENTE (KG)</t>
  </si>
  <si>
    <t>HIDRÓFUGO EN PASTA (KG)</t>
  </si>
  <si>
    <t>CAL AÉREA (KG)</t>
  </si>
  <si>
    <t>YESO (KG)</t>
  </si>
  <si>
    <t>SIKACERAM FLEXIBLE (KG)</t>
  </si>
  <si>
    <t>Revestimientos</t>
  </si>
  <si>
    <t>PASTINA (KG)</t>
  </si>
  <si>
    <t>CINTA DE ENMASCARAR (ML)</t>
  </si>
  <si>
    <t>SIKACERAM IMPERMEABLE (KG)</t>
  </si>
  <si>
    <t>PLACA DE YESO 9.5 MM (M2)</t>
  </si>
  <si>
    <t>C. Seco</t>
  </si>
  <si>
    <t>Tabiques Durlock</t>
  </si>
  <si>
    <t>MONTANTE 69MM (ML)</t>
  </si>
  <si>
    <t>SOLERA 70MM (ML)</t>
  </si>
  <si>
    <t>CANTONERAS (ML/ML DE VANO)</t>
  </si>
  <si>
    <t>TORNILLOS TIPO T1 (U)</t>
  </si>
  <si>
    <t>TORNILLOS TIPO T2 (U)</t>
  </si>
  <si>
    <t>CINTA DE PAPEL (ML)</t>
  </si>
  <si>
    <t>MASILLA (KG)</t>
  </si>
  <si>
    <t>LIJA (U)</t>
  </si>
  <si>
    <t>ROLLO LANA DE VIDRIO (M2)</t>
  </si>
  <si>
    <t>PLACA DE YESO 12.5 MM ANTI HUMEDAD (M2)</t>
  </si>
  <si>
    <t>PLACA DE YESO 12.5 MM (M2)</t>
  </si>
  <si>
    <t>TORNILLOS TIPO T3 (U)</t>
  </si>
  <si>
    <t>Cielorrasos Durlock</t>
  </si>
  <si>
    <t>MONTANTE 34MM (ML)</t>
  </si>
  <si>
    <t>SOLERA 35MM (ML)</t>
  </si>
  <si>
    <t>PERFIL Z BUÑA PERIMETRAL (ML/ML PM)</t>
  </si>
  <si>
    <t>FIJADOR AL AGUA (LTS)</t>
  </si>
  <si>
    <t>LTS</t>
  </si>
  <si>
    <t>Pintura</t>
  </si>
  <si>
    <t>Enduido Interior</t>
  </si>
  <si>
    <t>ENDUIDO PLÁSTICO INTERIOR MATE (LTS)</t>
  </si>
  <si>
    <t>RODILLO DE LANA (U)</t>
  </si>
  <si>
    <t>Látex Interior</t>
  </si>
  <si>
    <t>LÁTEX INTERIOR MATE (LTS)</t>
  </si>
  <si>
    <t>LÁTEX INTERIOR SATINADO (LTS)</t>
  </si>
  <si>
    <t>Látex Exterior</t>
  </si>
  <si>
    <t>LÁTEX EXTERIOR MATE (LTS)</t>
  </si>
  <si>
    <t>LÁTEX EXTERIOR SATINADO (LTS)</t>
  </si>
  <si>
    <t>FIJADOR AL SOLVENTE (LTS)</t>
  </si>
  <si>
    <t>Esmalte Paredes Int.</t>
  </si>
  <si>
    <t>ESMALTE SINTÉTICO BRILLANTE (LTS)</t>
  </si>
  <si>
    <t>THINNER (LTS)</t>
  </si>
  <si>
    <t>ESMALTE SINTÉTICO SATINADO (LTS)</t>
  </si>
  <si>
    <t>Esmalte Madera/Metal</t>
  </si>
  <si>
    <t>CONVERTIDOR DE ÓXIDO (LTS)</t>
  </si>
  <si>
    <t>Rev. Texturado Ext.</t>
  </si>
  <si>
    <t>REVESTIMIENTO TEXTURADO FINO (LTS)</t>
  </si>
  <si>
    <t>REVESTIMIENTO TEXTURADO GRUESO (LTS)</t>
  </si>
  <si>
    <t>Demoliciones Picado de revestimiento</t>
  </si>
  <si>
    <t>Demoliciones De pisos</t>
  </si>
  <si>
    <t>Demoliciones Picado de revoques</t>
  </si>
  <si>
    <t>Demoliciones De mamposterías</t>
  </si>
  <si>
    <t>Mampostería de elevación con cemento tradicional Ladrillos huecos 08x18x33</t>
  </si>
  <si>
    <t>Mampostería de elevación con cemento tradicional Ladrillos huecos 12x18x33</t>
  </si>
  <si>
    <t>Contrapisos De cascotes s/ terreno natural. Esp: 10cm. (con cemento de albañilería)</t>
  </si>
  <si>
    <t>Cubiertas Colocación de membrana asfáltica con imprimación de superficie</t>
  </si>
  <si>
    <t>Carpetas Alisado de cemento para piso (Esp:2cm)</t>
  </si>
  <si>
    <t>Carpetas Hidrofuga s/contrapiso (Esp: 2cm)</t>
  </si>
  <si>
    <t>Revoques 2 en 1: grueso y fino interior</t>
  </si>
  <si>
    <t>Revoques 3 en 1: grueso con hidrofugo y fino exterior</t>
  </si>
  <si>
    <t>Revoques Enlucido de yeso</t>
  </si>
  <si>
    <t>Pisos Cerámico, Porcellanato y Loseta Cerámico 60x60</t>
  </si>
  <si>
    <t>Pisos Cerámico, Porcellanato y Loseta Porcellanato 60x60</t>
  </si>
  <si>
    <t>Revestimientos Cerámico, Porcellanato, Venecita y Refractario Cerámico 60x60</t>
  </si>
  <si>
    <t>Revestimientos Cerámico, Porcellanato, Venecita y Refractario Porcellanato 60x60</t>
  </si>
  <si>
    <t>Construcción en Seco Tabique espesor 9.5cm</t>
  </si>
  <si>
    <t>Construcción en Seco Tabique espesor 9.5cm c/aislación acústica</t>
  </si>
  <si>
    <t>Construcción en Seco Cielorraso con placas de yeso</t>
  </si>
  <si>
    <t>Pinturas Paredes interiores</t>
  </si>
  <si>
    <t>Pinturas Paredes exteriores</t>
  </si>
  <si>
    <t>Pinturas Esmalte sintético s/ abertura.</t>
  </si>
  <si>
    <t>Revestimientos Texturado Texturado 1 Travertino/Rulato (Fino)</t>
  </si>
  <si>
    <t>Revestimientos Texturado Texturado 3 Travertino/Rulato (Grueso)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</si>
</sst>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0.000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>
      <sz val="9.0"/>
      <color rgb="FF888888"/>
      <name val="Arial"/>
    </font>
    <font>
      <b/>
      <sz val="10.0"/>
      <color rgb="FFFFFFFF"/>
      <name val="Arial"/>
    </font>
    <font>
      <sz val="9.0"/>
      <color rgb="FF000000"/>
      <name val="Arial"/>
    </font>
    <font>
      <sz val="9.0"/>
      <color rgb="FF666666"/>
      <name val="Arial"/>
    </font>
    <font>
      <b/>
      <sz val="10.0"/>
      <color theme="1"/>
      <name val="Arial"/>
    </font>
    <font/>
    <font>
      <color theme="1"/>
      <name val="Calibri"/>
      <scheme val="minor"/>
    </font>
    <font>
      <sz val="11.0"/>
      <color rgb="FF000000"/>
      <name val="Arial"/>
    </font>
    <font>
      <sz val="11.0"/>
      <color rgb="FF000000"/>
      <name val="Calibri"/>
    </font>
    <font>
      <b/>
      <sz val="9.0"/>
      <color rgb="FFC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84848"/>
        <bgColor rgb="FF484848"/>
      </patternFill>
    </fill>
    <fill>
      <patternFill patternType="solid">
        <fgColor rgb="FFE8E8E8"/>
        <bgColor rgb="FFE8E8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  <fill>
      <patternFill patternType="solid">
        <fgColor rgb="FFEBF3FB"/>
        <bgColor rgb="FFEBF3FB"/>
      </patternFill>
    </fill>
  </fills>
  <borders count="9">
    <border/>
    <border>
      <left/>
      <right/>
      <top/>
      <bottom/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left" vertical="center"/>
    </xf>
    <xf borderId="3" fillId="4" fontId="4" numFmtId="0" xfId="0" applyAlignment="1" applyBorder="1" applyFont="1">
      <alignment horizontal="left" vertical="center"/>
    </xf>
    <xf borderId="3" fillId="4" fontId="4" numFmtId="164" xfId="0" applyAlignment="1" applyBorder="1" applyFont="1" applyNumberForma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left" vertical="center"/>
    </xf>
    <xf borderId="3" fillId="5" fontId="4" numFmtId="0" xfId="0" applyAlignment="1" applyBorder="1" applyFont="1">
      <alignment horizontal="left" vertical="center"/>
    </xf>
    <xf borderId="3" fillId="5" fontId="4" numFmtId="164" xfId="0" applyAlignment="1" applyBorder="1" applyFont="1" applyNumberFormat="1">
      <alignment horizontal="center" vertical="center"/>
    </xf>
    <xf borderId="4" fillId="5" fontId="4" numFmtId="0" xfId="0" applyAlignment="1" applyBorder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5" fontId="4" numFmtId="0" xfId="0" applyAlignment="1" applyBorder="1" applyFont="1">
      <alignment horizontal="left" vertical="center"/>
    </xf>
    <xf borderId="1" fillId="3" fontId="6" numFmtId="0" xfId="0" applyAlignment="1" applyBorder="1" applyFont="1">
      <alignment horizontal="center" vertical="center"/>
    </xf>
    <xf borderId="3" fillId="4" fontId="5" numFmtId="0" xfId="0" applyBorder="1" applyFont="1"/>
    <xf borderId="5" fillId="2" fontId="1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5" fillId="3" fontId="2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0" fillId="0" fontId="8" numFmtId="0" xfId="0" applyFont="1"/>
    <xf borderId="0" fillId="0" fontId="8" numFmtId="164" xfId="0" applyFont="1" applyNumberFormat="1"/>
    <xf borderId="0" fillId="0" fontId="8" numFmtId="164" xfId="0" applyFont="1" applyNumberFormat="1"/>
    <xf borderId="0" fillId="0" fontId="8" numFmtId="0" xfId="0" applyAlignment="1" applyFont="1">
      <alignment readingOrder="0"/>
    </xf>
    <xf borderId="0" fillId="0" fontId="8" numFmtId="165" xfId="0" applyFont="1" applyNumberFormat="1"/>
    <xf borderId="0" fillId="0" fontId="8" numFmtId="0" xfId="0" applyFont="1"/>
    <xf borderId="8" fillId="6" fontId="3" numFmtId="0" xfId="0" applyAlignment="1" applyBorder="1" applyFill="1" applyFont="1">
      <alignment horizontal="center" shrinkToFit="0" vertical="center" wrapText="1"/>
    </xf>
    <xf borderId="8" fillId="6" fontId="3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left" readingOrder="0" shrinkToFit="0" vertical="center" wrapText="0"/>
    </xf>
    <xf borderId="8" fillId="5" fontId="4" numFmtId="0" xfId="0" applyAlignment="1" applyBorder="1" applyFont="1">
      <alignment horizontal="center" readingOrder="0" shrinkToFit="0" vertical="center" wrapText="0"/>
    </xf>
    <xf borderId="8" fillId="5" fontId="4" numFmtId="166" xfId="0" applyAlignment="1" applyBorder="1" applyFont="1" applyNumberFormat="1">
      <alignment horizontal="center" shrinkToFit="0" vertical="center" wrapText="0"/>
    </xf>
    <xf borderId="8" fillId="5" fontId="4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8" fillId="7" fontId="10" numFmtId="0" xfId="0" applyAlignment="1" applyBorder="1" applyFill="1" applyFont="1">
      <alignment shrinkToFit="0" vertical="bottom" wrapText="0"/>
    </xf>
    <xf borderId="8" fillId="7" fontId="10" numFmtId="0" xfId="0" applyAlignment="1" applyBorder="1" applyFont="1">
      <alignment horizontal="center" shrinkToFit="0" vertical="bottom" wrapText="0"/>
    </xf>
    <xf borderId="8" fillId="5" fontId="4" numFmtId="166" xfId="0" applyAlignment="1" applyBorder="1" applyFont="1" applyNumberFormat="1">
      <alignment horizontal="center" readingOrder="0" shrinkToFit="0" vertical="center" wrapText="0"/>
    </xf>
    <xf borderId="8" fillId="5" fontId="4" numFmtId="0" xfId="0" applyAlignment="1" applyBorder="1" applyFont="1">
      <alignment horizontal="left" shrinkToFit="0" vertical="center" wrapText="0"/>
    </xf>
    <xf borderId="0" fillId="0" fontId="9" numFmtId="164" xfId="0" applyAlignment="1" applyFont="1" applyNumberFormat="1">
      <alignment shrinkToFit="0" vertical="bottom" wrapText="0"/>
    </xf>
    <xf borderId="8" fillId="5" fontId="11" numFmtId="0" xfId="0" applyAlignment="1" applyBorder="1" applyFont="1">
      <alignment horizontal="center" shrinkToFit="0" vertical="center" wrapText="0"/>
    </xf>
    <xf borderId="8" fillId="8" fontId="4" numFmtId="0" xfId="0" applyAlignment="1" applyBorder="1" applyFill="1" applyFont="1">
      <alignment horizontal="left" shrinkToFit="0" vertical="center" wrapText="0"/>
    </xf>
    <xf borderId="8" fillId="8" fontId="4" numFmtId="0" xfId="0" applyAlignment="1" applyBorder="1" applyFont="1">
      <alignment horizontal="center" readingOrder="0" shrinkToFit="0" vertical="center" wrapText="0"/>
    </xf>
    <xf borderId="8" fillId="8" fontId="4" numFmtId="0" xfId="0" applyAlignment="1" applyBorder="1" applyFont="1">
      <alignment horizontal="center" shrinkToFit="0" vertical="center" wrapText="0"/>
    </xf>
    <xf borderId="8" fillId="8" fontId="4" numFmtId="166" xfId="0" applyAlignment="1" applyBorder="1" applyFont="1" applyNumberFormat="1">
      <alignment horizontal="center" shrinkToFit="0" vertical="center" wrapText="0"/>
    </xf>
    <xf borderId="8" fillId="8" fontId="11" numFmtId="0" xfId="0" applyAlignment="1" applyBorder="1" applyFont="1">
      <alignment horizontal="center" shrinkToFit="0" vertical="center" wrapText="0"/>
    </xf>
    <xf borderId="8" fillId="5" fontId="4" numFmtId="0" xfId="0" applyAlignment="1" applyBorder="1" applyFont="1">
      <alignment horizontal="left" shrinkToFit="0" vertical="center" wrapText="0"/>
    </xf>
    <xf borderId="8" fillId="8" fontId="4" numFmtId="0" xfId="0" applyAlignment="1" applyBorder="1" applyFont="1">
      <alignment horizontal="left" shrinkToFit="0" vertical="center" wrapText="0"/>
    </xf>
    <xf borderId="8" fillId="8" fontId="4" numFmtId="0" xfId="0" applyAlignment="1" applyBorder="1" applyFont="1">
      <alignment horizontal="left" readingOrder="0" shrinkToFit="0" vertical="center" wrapText="0"/>
    </xf>
    <xf borderId="0" fillId="0" fontId="9" numFmtId="0" xfId="0" applyAlignment="1" applyFont="1">
      <alignment horizontal="center" shrinkToFit="0" vertical="center" wrapText="0"/>
    </xf>
    <xf borderId="3" fillId="5" fontId="4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6.0"/>
    <col customWidth="1" min="3" max="3" width="59.29"/>
    <col customWidth="1" min="4" max="4" width="12.0"/>
    <col customWidth="1" min="5" max="5" width="14.0"/>
    <col customWidth="1" min="6" max="6" width="8.71"/>
  </cols>
  <sheetData>
    <row r="1" ht="36.0" customHeight="1">
      <c r="A1" s="1"/>
      <c r="B1" s="1" t="s">
        <v>0</v>
      </c>
      <c r="C1" s="1"/>
      <c r="D1" s="1"/>
      <c r="E1" s="1"/>
    </row>
    <row r="2" ht="18.0" customHeight="1">
      <c r="A2" s="2" t="s">
        <v>1</v>
      </c>
      <c r="B2" s="2"/>
      <c r="C2" s="2"/>
      <c r="D2" s="2"/>
      <c r="E2" s="2"/>
    </row>
    <row r="3" ht="18.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5.0" customHeight="1">
      <c r="A4" s="4">
        <v>276.0</v>
      </c>
      <c r="B4" s="5" t="s">
        <v>7</v>
      </c>
      <c r="C4" s="6" t="s">
        <v>8</v>
      </c>
      <c r="D4" s="4" t="s">
        <v>5</v>
      </c>
      <c r="E4" s="7">
        <v>19273.89</v>
      </c>
    </row>
    <row r="5" ht="15.0" customHeight="1">
      <c r="A5" s="8">
        <v>277.0</v>
      </c>
      <c r="B5" s="9" t="s">
        <v>7</v>
      </c>
      <c r="C5" s="10" t="s">
        <v>9</v>
      </c>
      <c r="D5" s="8" t="s">
        <v>5</v>
      </c>
      <c r="E5" s="11">
        <v>77095.58</v>
      </c>
    </row>
    <row r="6" ht="15.0" customHeight="1">
      <c r="A6" s="4">
        <v>1689.0</v>
      </c>
      <c r="B6" s="5" t="s">
        <v>7</v>
      </c>
      <c r="C6" s="6" t="s">
        <v>10</v>
      </c>
      <c r="D6" s="4" t="s">
        <v>5</v>
      </c>
      <c r="E6" s="7">
        <v>115920.41</v>
      </c>
    </row>
    <row r="7" ht="15.0" customHeight="1">
      <c r="A7" s="8">
        <v>1690.0</v>
      </c>
      <c r="B7" s="9" t="s">
        <v>7</v>
      </c>
      <c r="C7" s="10" t="s">
        <v>11</v>
      </c>
      <c r="D7" s="8" t="s">
        <v>5</v>
      </c>
      <c r="E7" s="11">
        <v>225294.7</v>
      </c>
    </row>
    <row r="8" ht="15.0" customHeight="1">
      <c r="A8" s="4">
        <v>115.0</v>
      </c>
      <c r="B8" s="5" t="s">
        <v>7</v>
      </c>
      <c r="C8" s="6" t="s">
        <v>12</v>
      </c>
      <c r="D8" s="4" t="s">
        <v>13</v>
      </c>
      <c r="E8" s="7">
        <v>18532.59</v>
      </c>
    </row>
    <row r="9" ht="15.0" customHeight="1">
      <c r="A9" s="8">
        <v>116.0</v>
      </c>
      <c r="B9" s="9" t="s">
        <v>7</v>
      </c>
      <c r="C9" s="10" t="s">
        <v>14</v>
      </c>
      <c r="D9" s="8" t="s">
        <v>13</v>
      </c>
      <c r="E9" s="11">
        <v>33358.67</v>
      </c>
    </row>
    <row r="10" ht="15.0" customHeight="1">
      <c r="A10" s="4">
        <v>117.0</v>
      </c>
      <c r="B10" s="5" t="s">
        <v>7</v>
      </c>
      <c r="C10" s="6" t="s">
        <v>15</v>
      </c>
      <c r="D10" s="4" t="s">
        <v>13</v>
      </c>
      <c r="E10" s="7">
        <v>6548.19</v>
      </c>
    </row>
    <row r="11" ht="15.0" customHeight="1">
      <c r="A11" s="8">
        <v>118.0</v>
      </c>
      <c r="B11" s="9" t="s">
        <v>7</v>
      </c>
      <c r="C11" s="10" t="s">
        <v>16</v>
      </c>
      <c r="D11" s="8" t="s">
        <v>13</v>
      </c>
      <c r="E11" s="11">
        <v>36570.97</v>
      </c>
    </row>
    <row r="12" ht="15.0" customHeight="1">
      <c r="A12" s="4">
        <v>119.0</v>
      </c>
      <c r="B12" s="5" t="s">
        <v>7</v>
      </c>
      <c r="C12" s="6" t="s">
        <v>17</v>
      </c>
      <c r="D12" s="4" t="s">
        <v>13</v>
      </c>
      <c r="E12" s="7">
        <v>39041.99</v>
      </c>
    </row>
    <row r="13" ht="15.0" customHeight="1">
      <c r="A13" s="8">
        <v>67.0</v>
      </c>
      <c r="B13" s="9" t="s">
        <v>7</v>
      </c>
      <c r="C13" s="10" t="s">
        <v>18</v>
      </c>
      <c r="D13" s="8" t="s">
        <v>19</v>
      </c>
      <c r="E13" s="11">
        <v>10378.28</v>
      </c>
    </row>
    <row r="14" ht="15.0" customHeight="1">
      <c r="A14" s="4">
        <v>120.0</v>
      </c>
      <c r="B14" s="5" t="s">
        <v>7</v>
      </c>
      <c r="C14" s="6" t="s">
        <v>20</v>
      </c>
      <c r="D14" s="4" t="s">
        <v>13</v>
      </c>
      <c r="E14" s="7">
        <v>12355.08</v>
      </c>
    </row>
    <row r="15" ht="15.0" customHeight="1">
      <c r="A15" s="8">
        <v>875.0</v>
      </c>
      <c r="B15" s="9" t="s">
        <v>7</v>
      </c>
      <c r="C15" s="10" t="s">
        <v>21</v>
      </c>
      <c r="D15" s="8" t="s">
        <v>22</v>
      </c>
      <c r="E15" s="11">
        <v>2634.1</v>
      </c>
    </row>
    <row r="16" ht="15.0" customHeight="1">
      <c r="A16" s="4">
        <v>254.0</v>
      </c>
      <c r="B16" s="5" t="s">
        <v>7</v>
      </c>
      <c r="C16" s="6" t="s">
        <v>23</v>
      </c>
      <c r="D16" s="4" t="s">
        <v>5</v>
      </c>
      <c r="E16" s="7">
        <v>203673.11</v>
      </c>
    </row>
    <row r="17" ht="15.0" customHeight="1">
      <c r="A17" s="8">
        <v>257.0</v>
      </c>
      <c r="B17" s="9" t="s">
        <v>7</v>
      </c>
      <c r="C17" s="10" t="s">
        <v>24</v>
      </c>
      <c r="D17" s="8" t="s">
        <v>5</v>
      </c>
      <c r="E17" s="11">
        <v>236105.17</v>
      </c>
    </row>
    <row r="18" ht="15.0" customHeight="1">
      <c r="A18" s="4">
        <v>871.0</v>
      </c>
      <c r="B18" s="5" t="s">
        <v>7</v>
      </c>
      <c r="C18" s="6" t="s">
        <v>25</v>
      </c>
      <c r="D18" s="4" t="s">
        <v>22</v>
      </c>
      <c r="E18" s="7">
        <v>25229.74</v>
      </c>
    </row>
    <row r="19" ht="15.0" customHeight="1">
      <c r="A19" s="8">
        <v>905.0</v>
      </c>
      <c r="B19" s="9" t="s">
        <v>7</v>
      </c>
      <c r="C19" s="10" t="s">
        <v>26</v>
      </c>
      <c r="D19" s="8" t="s">
        <v>5</v>
      </c>
      <c r="E19" s="11">
        <v>224429.63</v>
      </c>
    </row>
    <row r="20" ht="15.0" customHeight="1">
      <c r="A20" s="4">
        <v>252.0</v>
      </c>
      <c r="B20" s="5" t="s">
        <v>7</v>
      </c>
      <c r="C20" s="6" t="s">
        <v>27</v>
      </c>
      <c r="D20" s="4" t="s">
        <v>5</v>
      </c>
      <c r="E20" s="7">
        <v>185511.18</v>
      </c>
    </row>
    <row r="21" ht="15.0" customHeight="1">
      <c r="A21" s="8">
        <v>616.0</v>
      </c>
      <c r="B21" s="9" t="s">
        <v>7</v>
      </c>
      <c r="C21" s="10" t="s">
        <v>28</v>
      </c>
      <c r="D21" s="8" t="s">
        <v>22</v>
      </c>
      <c r="E21" s="11">
        <v>11935.0</v>
      </c>
    </row>
    <row r="22" ht="15.0" customHeight="1">
      <c r="A22" s="4">
        <v>267.0</v>
      </c>
      <c r="B22" s="5" t="s">
        <v>7</v>
      </c>
      <c r="C22" s="6" t="s">
        <v>29</v>
      </c>
      <c r="D22" s="4" t="s">
        <v>5</v>
      </c>
      <c r="E22" s="7">
        <v>8432.32</v>
      </c>
    </row>
    <row r="23" ht="15.0" customHeight="1">
      <c r="A23" s="8">
        <v>1517.0</v>
      </c>
      <c r="B23" s="9" t="s">
        <v>7</v>
      </c>
      <c r="C23" s="10" t="s">
        <v>30</v>
      </c>
      <c r="D23" s="8" t="s">
        <v>5</v>
      </c>
      <c r="E23" s="11">
        <v>157059.44</v>
      </c>
    </row>
    <row r="24" ht="15.0" customHeight="1">
      <c r="A24" s="4">
        <v>1021.0</v>
      </c>
      <c r="B24" s="5" t="s">
        <v>7</v>
      </c>
      <c r="C24" s="6" t="s">
        <v>31</v>
      </c>
      <c r="D24" s="4" t="s">
        <v>5</v>
      </c>
      <c r="E24" s="7">
        <v>107414.88</v>
      </c>
    </row>
    <row r="25" ht="15.0" customHeight="1">
      <c r="A25" s="8">
        <v>1451.0</v>
      </c>
      <c r="B25" s="9" t="s">
        <v>7</v>
      </c>
      <c r="C25" s="10" t="s">
        <v>32</v>
      </c>
      <c r="D25" s="8" t="s">
        <v>5</v>
      </c>
      <c r="E25" s="11">
        <v>32249.14</v>
      </c>
    </row>
    <row r="26" ht="15.0" customHeight="1">
      <c r="A26" s="4">
        <v>250.0</v>
      </c>
      <c r="B26" s="5" t="s">
        <v>7</v>
      </c>
      <c r="C26" s="6" t="s">
        <v>33</v>
      </c>
      <c r="D26" s="4" t="s">
        <v>5</v>
      </c>
      <c r="E26" s="7">
        <v>54485.81</v>
      </c>
    </row>
    <row r="27" ht="15.0" customHeight="1">
      <c r="A27" s="8">
        <v>238.0</v>
      </c>
      <c r="B27" s="9" t="s">
        <v>7</v>
      </c>
      <c r="C27" s="10" t="s">
        <v>34</v>
      </c>
      <c r="D27" s="8" t="s">
        <v>22</v>
      </c>
      <c r="E27" s="11">
        <v>19302.19</v>
      </c>
    </row>
    <row r="28" ht="15.0" customHeight="1">
      <c r="A28" s="4">
        <v>274.0</v>
      </c>
      <c r="B28" s="5" t="s">
        <v>7</v>
      </c>
      <c r="C28" s="6" t="s">
        <v>35</v>
      </c>
      <c r="D28" s="4" t="s">
        <v>5</v>
      </c>
      <c r="E28" s="7">
        <v>17297.09</v>
      </c>
    </row>
    <row r="29" ht="15.0" customHeight="1">
      <c r="A29" s="8">
        <v>270.0</v>
      </c>
      <c r="B29" s="9" t="s">
        <v>7</v>
      </c>
      <c r="C29" s="10" t="s">
        <v>36</v>
      </c>
      <c r="D29" s="8" t="s">
        <v>5</v>
      </c>
      <c r="E29" s="11">
        <v>33358.67</v>
      </c>
    </row>
    <row r="30" ht="15.0" customHeight="1">
      <c r="A30" s="4">
        <v>904.0</v>
      </c>
      <c r="B30" s="5" t="s">
        <v>7</v>
      </c>
      <c r="C30" s="6" t="s">
        <v>37</v>
      </c>
      <c r="D30" s="4" t="s">
        <v>5</v>
      </c>
      <c r="E30" s="7">
        <v>60539.83</v>
      </c>
    </row>
    <row r="31" ht="15.0" customHeight="1">
      <c r="A31" s="8">
        <v>272.0</v>
      </c>
      <c r="B31" s="9" t="s">
        <v>7</v>
      </c>
      <c r="C31" s="10" t="s">
        <v>38</v>
      </c>
      <c r="D31" s="8" t="s">
        <v>5</v>
      </c>
      <c r="E31" s="11">
        <v>48926.02</v>
      </c>
    </row>
    <row r="32" ht="15.0" customHeight="1">
      <c r="A32" s="4">
        <v>1518.0</v>
      </c>
      <c r="B32" s="5" t="s">
        <v>7</v>
      </c>
      <c r="C32" s="6" t="s">
        <v>39</v>
      </c>
      <c r="D32" s="4" t="s">
        <v>5</v>
      </c>
      <c r="E32" s="7">
        <v>123027.29</v>
      </c>
    </row>
    <row r="33" ht="15.0" customHeight="1">
      <c r="A33" s="8">
        <v>644.0</v>
      </c>
      <c r="B33" s="9" t="s">
        <v>7</v>
      </c>
      <c r="C33" s="10" t="s">
        <v>40</v>
      </c>
      <c r="D33" s="8" t="s">
        <v>13</v>
      </c>
      <c r="E33" s="11">
        <v>21992.0</v>
      </c>
    </row>
    <row r="34" ht="15.0" customHeight="1">
      <c r="A34" s="4">
        <v>244.0</v>
      </c>
      <c r="B34" s="5" t="s">
        <v>7</v>
      </c>
      <c r="C34" s="6" t="s">
        <v>41</v>
      </c>
      <c r="D34" s="4" t="s">
        <v>5</v>
      </c>
      <c r="E34" s="7">
        <v>32730.45</v>
      </c>
    </row>
    <row r="35" ht="15.0" customHeight="1">
      <c r="A35" s="8">
        <v>1516.0</v>
      </c>
      <c r="B35" s="9" t="s">
        <v>7</v>
      </c>
      <c r="C35" s="10" t="s">
        <v>42</v>
      </c>
      <c r="D35" s="8" t="s">
        <v>5</v>
      </c>
      <c r="E35" s="11">
        <v>34869.37</v>
      </c>
    </row>
    <row r="36" ht="15.0" customHeight="1">
      <c r="A36" s="4">
        <v>264.0</v>
      </c>
      <c r="B36" s="5" t="s">
        <v>7</v>
      </c>
      <c r="C36" s="6" t="s">
        <v>43</v>
      </c>
      <c r="D36" s="4" t="s">
        <v>5</v>
      </c>
      <c r="E36" s="7">
        <v>112374.59</v>
      </c>
    </row>
    <row r="37" ht="15.0" customHeight="1">
      <c r="A37" s="8">
        <v>78.0</v>
      </c>
      <c r="B37" s="9" t="s">
        <v>7</v>
      </c>
      <c r="C37" s="10" t="s">
        <v>44</v>
      </c>
      <c r="D37" s="8" t="s">
        <v>5</v>
      </c>
      <c r="E37" s="11">
        <v>58068.79</v>
      </c>
    </row>
    <row r="38" ht="15.0" customHeight="1">
      <c r="A38" s="4">
        <v>68.0</v>
      </c>
      <c r="B38" s="5" t="s">
        <v>7</v>
      </c>
      <c r="C38" s="6" t="s">
        <v>45</v>
      </c>
      <c r="D38" s="4" t="s">
        <v>19</v>
      </c>
      <c r="E38" s="7">
        <v>35829.7</v>
      </c>
    </row>
    <row r="39" ht="15.0" customHeight="1">
      <c r="A39" s="8">
        <v>79.0</v>
      </c>
      <c r="B39" s="9" t="s">
        <v>7</v>
      </c>
      <c r="C39" s="10" t="s">
        <v>46</v>
      </c>
      <c r="D39" s="8" t="s">
        <v>5</v>
      </c>
      <c r="E39" s="11">
        <v>17050.0</v>
      </c>
    </row>
    <row r="40" ht="15.0" customHeight="1">
      <c r="A40" s="4">
        <v>1519.0</v>
      </c>
      <c r="B40" s="5" t="s">
        <v>7</v>
      </c>
      <c r="C40" s="6" t="s">
        <v>47</v>
      </c>
      <c r="D40" s="4" t="s">
        <v>5</v>
      </c>
      <c r="E40" s="7">
        <v>107755.49</v>
      </c>
    </row>
    <row r="41" ht="15.0" customHeight="1">
      <c r="A41" s="8">
        <v>444.0</v>
      </c>
      <c r="B41" s="9" t="s">
        <v>7</v>
      </c>
      <c r="C41" s="10" t="s">
        <v>48</v>
      </c>
      <c r="D41" s="8" t="s">
        <v>22</v>
      </c>
      <c r="E41" s="11">
        <v>1716.4</v>
      </c>
    </row>
    <row r="42" ht="15.0" customHeight="1">
      <c r="A42" s="4">
        <v>1523.0</v>
      </c>
      <c r="B42" s="5" t="s">
        <v>7</v>
      </c>
      <c r="C42" s="6" t="s">
        <v>49</v>
      </c>
      <c r="D42" s="4" t="s">
        <v>5</v>
      </c>
      <c r="E42" s="7">
        <v>38458.28</v>
      </c>
    </row>
    <row r="43" ht="15.0" customHeight="1">
      <c r="A43" s="8">
        <v>909.0</v>
      </c>
      <c r="B43" s="9" t="s">
        <v>7</v>
      </c>
      <c r="C43" s="10" t="s">
        <v>50</v>
      </c>
      <c r="D43" s="8" t="s">
        <v>5</v>
      </c>
      <c r="E43" s="11">
        <v>20756.48</v>
      </c>
    </row>
    <row r="44" ht="15.0" customHeight="1">
      <c r="A44" s="4">
        <v>260.0</v>
      </c>
      <c r="B44" s="5" t="s">
        <v>7</v>
      </c>
      <c r="C44" s="6" t="s">
        <v>51</v>
      </c>
      <c r="D44" s="4" t="s">
        <v>5</v>
      </c>
      <c r="E44" s="7">
        <v>194592.14</v>
      </c>
    </row>
    <row r="45" ht="15.0" customHeight="1">
      <c r="A45" s="8">
        <v>1402.0</v>
      </c>
      <c r="B45" s="9" t="s">
        <v>7</v>
      </c>
      <c r="C45" s="10" t="s">
        <v>52</v>
      </c>
      <c r="D45" s="8" t="s">
        <v>22</v>
      </c>
      <c r="E45" s="11">
        <v>11592.02</v>
      </c>
    </row>
    <row r="46" ht="15.0" customHeight="1">
      <c r="A46" s="4">
        <v>1020.0</v>
      </c>
      <c r="B46" s="5" t="s">
        <v>7</v>
      </c>
      <c r="C46" s="6" t="s">
        <v>53</v>
      </c>
      <c r="D46" s="4" t="s">
        <v>5</v>
      </c>
      <c r="E46" s="7">
        <v>115920.41</v>
      </c>
    </row>
    <row r="47" ht="15.0" customHeight="1">
      <c r="A47" s="8">
        <v>897.0</v>
      </c>
      <c r="B47" s="9" t="s">
        <v>7</v>
      </c>
      <c r="C47" s="10" t="s">
        <v>54</v>
      </c>
      <c r="D47" s="8" t="s">
        <v>22</v>
      </c>
      <c r="E47" s="11">
        <v>1210.82</v>
      </c>
    </row>
    <row r="48" ht="15.0" customHeight="1">
      <c r="A48" s="4">
        <v>234.0</v>
      </c>
      <c r="B48" s="5" t="s">
        <v>7</v>
      </c>
      <c r="C48" s="6" t="s">
        <v>55</v>
      </c>
      <c r="D48" s="4" t="s">
        <v>5</v>
      </c>
      <c r="E48" s="7">
        <v>84955.68</v>
      </c>
    </row>
    <row r="49" ht="15.0" customHeight="1">
      <c r="A49" s="8">
        <v>242.0</v>
      </c>
      <c r="B49" s="9" t="s">
        <v>7</v>
      </c>
      <c r="C49" s="10" t="s">
        <v>56</v>
      </c>
      <c r="D49" s="8" t="s">
        <v>5</v>
      </c>
      <c r="E49" s="11">
        <v>10910.16</v>
      </c>
    </row>
    <row r="50" ht="15.0" customHeight="1">
      <c r="A50" s="4">
        <v>241.0</v>
      </c>
      <c r="B50" s="5" t="s">
        <v>7</v>
      </c>
      <c r="C50" s="6" t="s">
        <v>57</v>
      </c>
      <c r="D50" s="4" t="s">
        <v>5</v>
      </c>
      <c r="E50" s="7">
        <v>170699.79</v>
      </c>
    </row>
    <row r="51" ht="15.0" customHeight="1">
      <c r="A51" s="8">
        <v>262.0</v>
      </c>
      <c r="B51" s="9" t="s">
        <v>7</v>
      </c>
      <c r="C51" s="10" t="s">
        <v>58</v>
      </c>
      <c r="D51" s="8" t="s">
        <v>5</v>
      </c>
      <c r="E51" s="11">
        <v>269834.44</v>
      </c>
    </row>
    <row r="52" ht="15.0" customHeight="1">
      <c r="A52" s="4">
        <v>246.0</v>
      </c>
      <c r="B52" s="5" t="s">
        <v>7</v>
      </c>
      <c r="C52" s="6" t="s">
        <v>59</v>
      </c>
      <c r="D52" s="4" t="s">
        <v>5</v>
      </c>
      <c r="E52" s="7">
        <v>53783.25</v>
      </c>
    </row>
    <row r="53" ht="15.0" customHeight="1">
      <c r="A53" s="8">
        <v>1404.0</v>
      </c>
      <c r="B53" s="9" t="s">
        <v>7</v>
      </c>
      <c r="C53" s="10" t="s">
        <v>60</v>
      </c>
      <c r="D53" s="8" t="s">
        <v>5</v>
      </c>
      <c r="E53" s="11">
        <v>17342.55</v>
      </c>
    </row>
    <row r="54" ht="15.0" customHeight="1">
      <c r="A54" s="4">
        <v>1403.0</v>
      </c>
      <c r="B54" s="5" t="s">
        <v>7</v>
      </c>
      <c r="C54" s="6" t="s">
        <v>61</v>
      </c>
      <c r="D54" s="4" t="s">
        <v>5</v>
      </c>
      <c r="E54" s="7">
        <v>37675.65</v>
      </c>
    </row>
    <row r="55" ht="15.0" customHeight="1">
      <c r="A55" s="8">
        <v>1395.0</v>
      </c>
      <c r="B55" s="9" t="s">
        <v>7</v>
      </c>
      <c r="C55" s="10" t="s">
        <v>62</v>
      </c>
      <c r="D55" s="8" t="s">
        <v>5</v>
      </c>
      <c r="E55" s="11">
        <v>46203.09</v>
      </c>
    </row>
    <row r="56" ht="15.0" customHeight="1">
      <c r="A56" s="4">
        <v>22.0</v>
      </c>
      <c r="B56" s="5" t="s">
        <v>63</v>
      </c>
      <c r="C56" s="6" t="s">
        <v>64</v>
      </c>
      <c r="D56" s="4" t="s">
        <v>65</v>
      </c>
      <c r="E56" s="7">
        <v>54451.66</v>
      </c>
    </row>
    <row r="57" ht="15.0" customHeight="1">
      <c r="A57" s="8">
        <v>23.0</v>
      </c>
      <c r="B57" s="9" t="s">
        <v>63</v>
      </c>
      <c r="C57" s="10" t="s">
        <v>66</v>
      </c>
      <c r="D57" s="8" t="s">
        <v>65</v>
      </c>
      <c r="E57" s="11">
        <v>64535.33</v>
      </c>
    </row>
    <row r="58" ht="15.0" customHeight="1">
      <c r="A58" s="4">
        <v>26.0</v>
      </c>
      <c r="B58" s="5" t="s">
        <v>63</v>
      </c>
      <c r="C58" s="6" t="s">
        <v>67</v>
      </c>
      <c r="D58" s="4" t="s">
        <v>65</v>
      </c>
      <c r="E58" s="7">
        <v>63108.24</v>
      </c>
    </row>
    <row r="59" ht="15.0" customHeight="1">
      <c r="A59" s="8">
        <v>25.0</v>
      </c>
      <c r="B59" s="9" t="s">
        <v>63</v>
      </c>
      <c r="C59" s="10" t="s">
        <v>68</v>
      </c>
      <c r="D59" s="8" t="s">
        <v>65</v>
      </c>
      <c r="E59" s="11">
        <v>58360.26</v>
      </c>
    </row>
    <row r="60" ht="15.0" customHeight="1">
      <c r="A60" s="4">
        <v>24.0</v>
      </c>
      <c r="B60" s="5" t="s">
        <v>63</v>
      </c>
      <c r="C60" s="6" t="s">
        <v>69</v>
      </c>
      <c r="D60" s="4" t="s">
        <v>65</v>
      </c>
      <c r="E60" s="7">
        <v>48468.69</v>
      </c>
    </row>
    <row r="61" ht="15.0" customHeight="1">
      <c r="A61" s="8">
        <v>28.0</v>
      </c>
      <c r="B61" s="9" t="s">
        <v>63</v>
      </c>
      <c r="C61" s="10" t="s">
        <v>70</v>
      </c>
      <c r="D61" s="8" t="s">
        <v>65</v>
      </c>
      <c r="E61" s="11">
        <v>87045.86</v>
      </c>
    </row>
    <row r="62" ht="15.0" customHeight="1">
      <c r="A62" s="4">
        <v>30.0</v>
      </c>
      <c r="B62" s="5" t="s">
        <v>63</v>
      </c>
      <c r="C62" s="6" t="s">
        <v>71</v>
      </c>
      <c r="D62" s="4" t="s">
        <v>65</v>
      </c>
      <c r="E62" s="7">
        <v>94959.12</v>
      </c>
    </row>
    <row r="63" ht="15.0" customHeight="1">
      <c r="A63" s="8">
        <v>29.0</v>
      </c>
      <c r="B63" s="9" t="s">
        <v>63</v>
      </c>
      <c r="C63" s="10" t="s">
        <v>72</v>
      </c>
      <c r="D63" s="8" t="s">
        <v>65</v>
      </c>
      <c r="E63" s="11">
        <v>100894.08</v>
      </c>
    </row>
    <row r="64" ht="15.0" customHeight="1">
      <c r="A64" s="4">
        <v>27.0</v>
      </c>
      <c r="B64" s="5" t="s">
        <v>63</v>
      </c>
      <c r="C64" s="6" t="s">
        <v>73</v>
      </c>
      <c r="D64" s="4" t="s">
        <v>65</v>
      </c>
      <c r="E64" s="7">
        <v>110785.64</v>
      </c>
    </row>
    <row r="65" ht="15.0" customHeight="1">
      <c r="A65" s="8">
        <v>513.0</v>
      </c>
      <c r="B65" s="9" t="s">
        <v>74</v>
      </c>
      <c r="C65" s="10" t="s">
        <v>75</v>
      </c>
      <c r="D65" s="8" t="s">
        <v>76</v>
      </c>
      <c r="E65" s="11">
        <v>275800.9</v>
      </c>
    </row>
    <row r="66" ht="15.0" customHeight="1">
      <c r="A66" s="4">
        <v>514.0</v>
      </c>
      <c r="B66" s="5" t="s">
        <v>74</v>
      </c>
      <c r="C66" s="6" t="s">
        <v>77</v>
      </c>
      <c r="D66" s="4" t="s">
        <v>76</v>
      </c>
      <c r="E66" s="7">
        <v>310276.05</v>
      </c>
    </row>
    <row r="67" ht="15.0" customHeight="1">
      <c r="A67" s="8">
        <v>1579.0</v>
      </c>
      <c r="B67" s="9" t="s">
        <v>74</v>
      </c>
      <c r="C67" s="10" t="s">
        <v>78</v>
      </c>
      <c r="D67" s="8" t="s">
        <v>76</v>
      </c>
      <c r="E67" s="11">
        <v>929195.65</v>
      </c>
    </row>
    <row r="68" ht="15.0" customHeight="1">
      <c r="A68" s="4">
        <v>1578.0</v>
      </c>
      <c r="B68" s="5" t="s">
        <v>74</v>
      </c>
      <c r="C68" s="6" t="s">
        <v>79</v>
      </c>
      <c r="D68" s="4" t="s">
        <v>76</v>
      </c>
      <c r="E68" s="7">
        <v>648962.04</v>
      </c>
    </row>
    <row r="69" ht="15.0" customHeight="1">
      <c r="A69" s="8">
        <v>1580.0</v>
      </c>
      <c r="B69" s="9" t="s">
        <v>74</v>
      </c>
      <c r="C69" s="10" t="s">
        <v>80</v>
      </c>
      <c r="D69" s="8" t="s">
        <v>76</v>
      </c>
      <c r="E69" s="11">
        <v>796453.41</v>
      </c>
    </row>
    <row r="70" ht="15.0" customHeight="1">
      <c r="A70" s="4">
        <v>1761.0</v>
      </c>
      <c r="B70" s="5" t="s">
        <v>74</v>
      </c>
      <c r="C70" s="6" t="s">
        <v>81</v>
      </c>
      <c r="D70" s="4" t="s">
        <v>5</v>
      </c>
      <c r="E70" s="7">
        <v>1133000.0</v>
      </c>
    </row>
    <row r="71" ht="15.0" customHeight="1">
      <c r="A71" s="8">
        <v>1762.0</v>
      </c>
      <c r="B71" s="9" t="s">
        <v>74</v>
      </c>
      <c r="C71" s="10" t="s">
        <v>82</v>
      </c>
      <c r="D71" s="8" t="s">
        <v>5</v>
      </c>
      <c r="E71" s="11">
        <v>1339000.0</v>
      </c>
    </row>
    <row r="72" ht="15.0" customHeight="1">
      <c r="A72" s="4">
        <v>1763.0</v>
      </c>
      <c r="B72" s="5" t="s">
        <v>74</v>
      </c>
      <c r="C72" s="6" t="s">
        <v>83</v>
      </c>
      <c r="D72" s="4" t="s">
        <v>5</v>
      </c>
      <c r="E72" s="7">
        <v>1596500.0</v>
      </c>
    </row>
    <row r="73" ht="15.0" customHeight="1">
      <c r="A73" s="8">
        <v>1764.0</v>
      </c>
      <c r="B73" s="9" t="s">
        <v>74</v>
      </c>
      <c r="C73" s="10" t="s">
        <v>84</v>
      </c>
      <c r="D73" s="8" t="s">
        <v>5</v>
      </c>
      <c r="E73" s="11">
        <v>824000.0</v>
      </c>
    </row>
    <row r="74" ht="15.0" customHeight="1">
      <c r="A74" s="4">
        <v>1765.0</v>
      </c>
      <c r="B74" s="5" t="s">
        <v>74</v>
      </c>
      <c r="C74" s="6" t="s">
        <v>85</v>
      </c>
      <c r="D74" s="4" t="s">
        <v>5</v>
      </c>
      <c r="E74" s="7">
        <v>1030000.0</v>
      </c>
    </row>
    <row r="75" ht="15.0" customHeight="1">
      <c r="A75" s="8">
        <v>1766.0</v>
      </c>
      <c r="B75" s="9" t="s">
        <v>74</v>
      </c>
      <c r="C75" s="10" t="s">
        <v>86</v>
      </c>
      <c r="D75" s="8" t="s">
        <v>5</v>
      </c>
      <c r="E75" s="11">
        <v>1236000.0</v>
      </c>
    </row>
    <row r="76" ht="15.0" customHeight="1">
      <c r="A76" s="4">
        <v>744.0</v>
      </c>
      <c r="B76" s="5" t="s">
        <v>87</v>
      </c>
      <c r="C76" s="6" t="s">
        <v>88</v>
      </c>
      <c r="D76" s="4" t="s">
        <v>5</v>
      </c>
      <c r="E76" s="7">
        <v>186763.87</v>
      </c>
    </row>
    <row r="77" ht="15.0" customHeight="1">
      <c r="A77" s="8">
        <v>375.0</v>
      </c>
      <c r="B77" s="9" t="s">
        <v>87</v>
      </c>
      <c r="C77" s="10" t="s">
        <v>89</v>
      </c>
      <c r="D77" s="8" t="s">
        <v>5</v>
      </c>
      <c r="E77" s="11">
        <v>285060.64</v>
      </c>
    </row>
    <row r="78" ht="15.0" customHeight="1">
      <c r="A78" s="4">
        <v>387.0</v>
      </c>
      <c r="B78" s="5" t="s">
        <v>87</v>
      </c>
      <c r="C78" s="6" t="s">
        <v>90</v>
      </c>
      <c r="D78" s="4" t="s">
        <v>5</v>
      </c>
      <c r="E78" s="7">
        <v>306685.91</v>
      </c>
    </row>
    <row r="79" ht="15.0" customHeight="1">
      <c r="A79" s="8">
        <v>1552.0</v>
      </c>
      <c r="B79" s="9" t="s">
        <v>87</v>
      </c>
      <c r="C79" s="10" t="s">
        <v>91</v>
      </c>
      <c r="D79" s="8" t="s">
        <v>5</v>
      </c>
      <c r="E79" s="11">
        <v>42712.85</v>
      </c>
    </row>
    <row r="80" ht="15.0" customHeight="1">
      <c r="A80" s="4">
        <v>1540.0</v>
      </c>
      <c r="B80" s="5" t="s">
        <v>87</v>
      </c>
      <c r="C80" s="6" t="s">
        <v>92</v>
      </c>
      <c r="D80" s="4" t="s">
        <v>5</v>
      </c>
      <c r="E80" s="7">
        <v>105859.3</v>
      </c>
    </row>
    <row r="81" ht="15.0" customHeight="1">
      <c r="A81" s="8">
        <v>1546.0</v>
      </c>
      <c r="B81" s="9" t="s">
        <v>87</v>
      </c>
      <c r="C81" s="10" t="s">
        <v>93</v>
      </c>
      <c r="D81" s="8" t="s">
        <v>5</v>
      </c>
      <c r="E81" s="11">
        <v>81978.59</v>
      </c>
    </row>
    <row r="82" ht="15.0" customHeight="1">
      <c r="A82" s="4">
        <v>405.0</v>
      </c>
      <c r="B82" s="5" t="s">
        <v>87</v>
      </c>
      <c r="C82" s="6" t="s">
        <v>94</v>
      </c>
      <c r="D82" s="4" t="s">
        <v>5</v>
      </c>
      <c r="E82" s="7">
        <v>62288.41</v>
      </c>
    </row>
    <row r="83" ht="15.0" customHeight="1">
      <c r="A83" s="8">
        <v>1691.0</v>
      </c>
      <c r="B83" s="9" t="s">
        <v>87</v>
      </c>
      <c r="C83" s="10" t="s">
        <v>95</v>
      </c>
      <c r="D83" s="8" t="s">
        <v>5</v>
      </c>
      <c r="E83" s="11">
        <v>54948.38</v>
      </c>
    </row>
    <row r="84" ht="15.0" customHeight="1">
      <c r="A84" s="4">
        <v>1584.0</v>
      </c>
      <c r="B84" s="5" t="s">
        <v>87</v>
      </c>
      <c r="C84" s="6" t="s">
        <v>96</v>
      </c>
      <c r="D84" s="4" t="s">
        <v>5</v>
      </c>
      <c r="E84" s="7">
        <v>141858.59</v>
      </c>
    </row>
    <row r="85" ht="15.0" customHeight="1">
      <c r="A85" s="8">
        <v>1585.0</v>
      </c>
      <c r="B85" s="9" t="s">
        <v>87</v>
      </c>
      <c r="C85" s="10" t="s">
        <v>97</v>
      </c>
      <c r="D85" s="8" t="s">
        <v>5</v>
      </c>
      <c r="E85" s="11">
        <v>170372.88</v>
      </c>
    </row>
    <row r="86" ht="15.0" customHeight="1">
      <c r="A86" s="4">
        <v>390.0</v>
      </c>
      <c r="B86" s="5" t="s">
        <v>87</v>
      </c>
      <c r="C86" s="6" t="s">
        <v>98</v>
      </c>
      <c r="D86" s="4" t="s">
        <v>5</v>
      </c>
      <c r="E86" s="7">
        <v>131400.26</v>
      </c>
    </row>
    <row r="87" ht="15.0" customHeight="1">
      <c r="A87" s="8">
        <v>696.0</v>
      </c>
      <c r="B87" s="9" t="s">
        <v>87</v>
      </c>
      <c r="C87" s="10" t="s">
        <v>99</v>
      </c>
      <c r="D87" s="8" t="s">
        <v>5</v>
      </c>
      <c r="E87" s="11">
        <v>481654.18</v>
      </c>
    </row>
    <row r="88" ht="15.0" customHeight="1">
      <c r="A88" s="4">
        <v>1555.0</v>
      </c>
      <c r="B88" s="5" t="s">
        <v>87</v>
      </c>
      <c r="C88" s="6" t="s">
        <v>100</v>
      </c>
      <c r="D88" s="4" t="s">
        <v>5</v>
      </c>
      <c r="E88" s="7">
        <v>1194023.54</v>
      </c>
    </row>
    <row r="89" ht="15.0" customHeight="1">
      <c r="A89" s="8">
        <v>1549.0</v>
      </c>
      <c r="B89" s="9" t="s">
        <v>87</v>
      </c>
      <c r="C89" s="10" t="s">
        <v>101</v>
      </c>
      <c r="D89" s="8" t="s">
        <v>5</v>
      </c>
      <c r="E89" s="11">
        <v>142571.45</v>
      </c>
    </row>
    <row r="90" ht="15.0" customHeight="1">
      <c r="A90" s="4">
        <v>694.0</v>
      </c>
      <c r="B90" s="5" t="s">
        <v>87</v>
      </c>
      <c r="C90" s="6" t="s">
        <v>102</v>
      </c>
      <c r="D90" s="4" t="s">
        <v>5</v>
      </c>
      <c r="E90" s="7">
        <v>264052.22</v>
      </c>
    </row>
    <row r="91" ht="15.0" customHeight="1">
      <c r="A91" s="8">
        <v>341.0</v>
      </c>
      <c r="B91" s="9" t="s">
        <v>87</v>
      </c>
      <c r="C91" s="10" t="s">
        <v>103</v>
      </c>
      <c r="D91" s="8" t="s">
        <v>5</v>
      </c>
      <c r="E91" s="11">
        <v>131638.32</v>
      </c>
    </row>
    <row r="92" ht="15.0" customHeight="1">
      <c r="A92" s="4">
        <v>379.0</v>
      </c>
      <c r="B92" s="5" t="s">
        <v>87</v>
      </c>
      <c r="C92" s="6" t="s">
        <v>104</v>
      </c>
      <c r="D92" s="4" t="s">
        <v>5</v>
      </c>
      <c r="E92" s="7">
        <v>300598.71</v>
      </c>
    </row>
    <row r="93" ht="15.0" customHeight="1">
      <c r="A93" s="8">
        <v>1537.0</v>
      </c>
      <c r="B93" s="9" t="s">
        <v>87</v>
      </c>
      <c r="C93" s="10" t="s">
        <v>105</v>
      </c>
      <c r="D93" s="8" t="s">
        <v>5</v>
      </c>
      <c r="E93" s="11">
        <v>929744.01</v>
      </c>
    </row>
    <row r="94" ht="15.0" customHeight="1">
      <c r="A94" s="4">
        <v>409.0</v>
      </c>
      <c r="B94" s="5" t="s">
        <v>87</v>
      </c>
      <c r="C94" s="6" t="s">
        <v>106</v>
      </c>
      <c r="D94" s="4" t="s">
        <v>5</v>
      </c>
      <c r="E94" s="7">
        <v>85042.07</v>
      </c>
    </row>
    <row r="95" ht="15.0" customHeight="1">
      <c r="A95" s="8">
        <v>408.0</v>
      </c>
      <c r="B95" s="9" t="s">
        <v>87</v>
      </c>
      <c r="C95" s="10" t="s">
        <v>107</v>
      </c>
      <c r="D95" s="8" t="s">
        <v>5</v>
      </c>
      <c r="E95" s="11">
        <v>126406.06</v>
      </c>
    </row>
    <row r="96" ht="15.0" customHeight="1">
      <c r="A96" s="4">
        <v>368.0</v>
      </c>
      <c r="B96" s="5" t="s">
        <v>87</v>
      </c>
      <c r="C96" s="6" t="s">
        <v>108</v>
      </c>
      <c r="D96" s="4" t="s">
        <v>5</v>
      </c>
      <c r="E96" s="7">
        <v>66252.03</v>
      </c>
    </row>
    <row r="97" ht="15.0" customHeight="1">
      <c r="A97" s="8">
        <v>1542.0</v>
      </c>
      <c r="B97" s="9" t="s">
        <v>87</v>
      </c>
      <c r="C97" s="10" t="s">
        <v>109</v>
      </c>
      <c r="D97" s="8" t="s">
        <v>5</v>
      </c>
      <c r="E97" s="11">
        <v>82691.47</v>
      </c>
    </row>
    <row r="98" ht="15.0" customHeight="1">
      <c r="A98" s="4">
        <v>354.0</v>
      </c>
      <c r="B98" s="5" t="s">
        <v>87</v>
      </c>
      <c r="C98" s="6" t="s">
        <v>110</v>
      </c>
      <c r="D98" s="4" t="s">
        <v>5</v>
      </c>
      <c r="E98" s="7">
        <v>193054.88</v>
      </c>
    </row>
    <row r="99" ht="15.0" customHeight="1">
      <c r="A99" s="8">
        <v>400.0</v>
      </c>
      <c r="B99" s="9" t="s">
        <v>87</v>
      </c>
      <c r="C99" s="10" t="s">
        <v>111</v>
      </c>
      <c r="D99" s="8" t="s">
        <v>5</v>
      </c>
      <c r="E99" s="11">
        <v>167104.53</v>
      </c>
    </row>
    <row r="100" ht="15.0" customHeight="1">
      <c r="A100" s="4">
        <v>1545.0</v>
      </c>
      <c r="B100" s="5" t="s">
        <v>87</v>
      </c>
      <c r="C100" s="6" t="s">
        <v>112</v>
      </c>
      <c r="D100" s="4" t="s">
        <v>5</v>
      </c>
      <c r="E100" s="7">
        <v>217421.43</v>
      </c>
    </row>
    <row r="101" ht="15.0" customHeight="1">
      <c r="A101" s="8">
        <v>1539.0</v>
      </c>
      <c r="B101" s="9" t="s">
        <v>87</v>
      </c>
      <c r="C101" s="10" t="s">
        <v>113</v>
      </c>
      <c r="D101" s="8" t="s">
        <v>5</v>
      </c>
      <c r="E101" s="11">
        <v>730678.62</v>
      </c>
    </row>
    <row r="102" ht="15.0" customHeight="1">
      <c r="A102" s="4">
        <v>404.0</v>
      </c>
      <c r="B102" s="5" t="s">
        <v>87</v>
      </c>
      <c r="C102" s="6" t="s">
        <v>114</v>
      </c>
      <c r="D102" s="4" t="s">
        <v>5</v>
      </c>
      <c r="E102" s="7">
        <v>37579.59</v>
      </c>
    </row>
    <row r="103" ht="15.0" customHeight="1">
      <c r="A103" s="8">
        <v>402.0</v>
      </c>
      <c r="B103" s="9" t="s">
        <v>87</v>
      </c>
      <c r="C103" s="10" t="s">
        <v>115</v>
      </c>
      <c r="D103" s="8" t="s">
        <v>5</v>
      </c>
      <c r="E103" s="11">
        <v>304474.23</v>
      </c>
    </row>
    <row r="104" ht="15.0" customHeight="1">
      <c r="A104" s="4">
        <v>1572.0</v>
      </c>
      <c r="B104" s="5" t="s">
        <v>87</v>
      </c>
      <c r="C104" s="6" t="s">
        <v>116</v>
      </c>
      <c r="D104" s="4" t="s">
        <v>5</v>
      </c>
      <c r="E104" s="7">
        <v>106215.68</v>
      </c>
    </row>
    <row r="105" ht="15.0" customHeight="1">
      <c r="A105" s="8">
        <v>1570.0</v>
      </c>
      <c r="B105" s="9" t="s">
        <v>87</v>
      </c>
      <c r="C105" s="10" t="s">
        <v>117</v>
      </c>
      <c r="D105" s="8" t="s">
        <v>5</v>
      </c>
      <c r="E105" s="11">
        <v>458367.2</v>
      </c>
    </row>
    <row r="106" ht="15.0" customHeight="1">
      <c r="A106" s="4">
        <v>1576.0</v>
      </c>
      <c r="B106" s="5" t="s">
        <v>87</v>
      </c>
      <c r="C106" s="6" t="s">
        <v>118</v>
      </c>
      <c r="D106" s="4" t="s">
        <v>5</v>
      </c>
      <c r="E106" s="7">
        <v>158967.17</v>
      </c>
    </row>
    <row r="107" ht="15.0" customHeight="1">
      <c r="A107" s="8">
        <v>1575.0</v>
      </c>
      <c r="B107" s="9" t="s">
        <v>87</v>
      </c>
      <c r="C107" s="10" t="s">
        <v>119</v>
      </c>
      <c r="D107" s="8" t="s">
        <v>5</v>
      </c>
      <c r="E107" s="11">
        <v>255737.54</v>
      </c>
    </row>
    <row r="108" ht="15.0" customHeight="1">
      <c r="A108" s="4">
        <v>1577.0</v>
      </c>
      <c r="B108" s="5" t="s">
        <v>87</v>
      </c>
      <c r="C108" s="6" t="s">
        <v>120</v>
      </c>
      <c r="D108" s="4" t="s">
        <v>5</v>
      </c>
      <c r="E108" s="7">
        <v>570285.78</v>
      </c>
    </row>
    <row r="109" ht="15.0" customHeight="1">
      <c r="A109" s="8">
        <v>701.0</v>
      </c>
      <c r="B109" s="9" t="s">
        <v>87</v>
      </c>
      <c r="C109" s="10" t="s">
        <v>121</v>
      </c>
      <c r="D109" s="8" t="s">
        <v>5</v>
      </c>
      <c r="E109" s="11">
        <v>267318.12</v>
      </c>
    </row>
    <row r="110" ht="15.0" customHeight="1">
      <c r="A110" s="4">
        <v>1573.0</v>
      </c>
      <c r="B110" s="5" t="s">
        <v>87</v>
      </c>
      <c r="C110" s="6" t="s">
        <v>122</v>
      </c>
      <c r="D110" s="4" t="s">
        <v>5</v>
      </c>
      <c r="E110" s="7">
        <v>209223.6</v>
      </c>
    </row>
    <row r="111" ht="15.0" customHeight="1">
      <c r="A111" s="8">
        <v>1574.0</v>
      </c>
      <c r="B111" s="9" t="s">
        <v>87</v>
      </c>
      <c r="C111" s="10" t="s">
        <v>123</v>
      </c>
      <c r="D111" s="8" t="s">
        <v>5</v>
      </c>
      <c r="E111" s="11">
        <v>177501.45</v>
      </c>
    </row>
    <row r="112" ht="15.0" customHeight="1">
      <c r="A112" s="4">
        <v>702.0</v>
      </c>
      <c r="B112" s="5" t="s">
        <v>87</v>
      </c>
      <c r="C112" s="6" t="s">
        <v>124</v>
      </c>
      <c r="D112" s="4" t="s">
        <v>5</v>
      </c>
      <c r="E112" s="7">
        <v>278671.33</v>
      </c>
    </row>
    <row r="113" ht="15.0" customHeight="1">
      <c r="A113" s="8">
        <v>697.0</v>
      </c>
      <c r="B113" s="9" t="s">
        <v>87</v>
      </c>
      <c r="C113" s="10" t="s">
        <v>125</v>
      </c>
      <c r="D113" s="8" t="s">
        <v>5</v>
      </c>
      <c r="E113" s="11">
        <v>1653449.96</v>
      </c>
    </row>
    <row r="114" ht="15.0" customHeight="1">
      <c r="A114" s="4">
        <v>1559.0</v>
      </c>
      <c r="B114" s="5" t="s">
        <v>87</v>
      </c>
      <c r="C114" s="6" t="s">
        <v>126</v>
      </c>
      <c r="D114" s="4" t="s">
        <v>5</v>
      </c>
      <c r="E114" s="7">
        <v>171798.59</v>
      </c>
    </row>
    <row r="115" ht="15.0" customHeight="1">
      <c r="A115" s="8">
        <v>1557.0</v>
      </c>
      <c r="B115" s="9" t="s">
        <v>87</v>
      </c>
      <c r="C115" s="10" t="s">
        <v>127</v>
      </c>
      <c r="D115" s="8" t="s">
        <v>5</v>
      </c>
      <c r="E115" s="11">
        <v>294053.6</v>
      </c>
    </row>
    <row r="116" ht="15.0" customHeight="1">
      <c r="A116" s="4">
        <v>1558.0</v>
      </c>
      <c r="B116" s="5" t="s">
        <v>87</v>
      </c>
      <c r="C116" s="6" t="s">
        <v>128</v>
      </c>
      <c r="D116" s="4" t="s">
        <v>5</v>
      </c>
      <c r="E116" s="7">
        <v>401338.57</v>
      </c>
    </row>
    <row r="117" ht="15.0" customHeight="1">
      <c r="A117" s="8">
        <v>401.0</v>
      </c>
      <c r="B117" s="9" t="s">
        <v>87</v>
      </c>
      <c r="C117" s="10" t="s">
        <v>129</v>
      </c>
      <c r="D117" s="8" t="s">
        <v>5</v>
      </c>
      <c r="E117" s="11">
        <v>284657.59</v>
      </c>
    </row>
    <row r="118" ht="15.0" customHeight="1">
      <c r="A118" s="4">
        <v>1568.0</v>
      </c>
      <c r="B118" s="5" t="s">
        <v>87</v>
      </c>
      <c r="C118" s="6" t="s">
        <v>130</v>
      </c>
      <c r="D118" s="4" t="s">
        <v>5</v>
      </c>
      <c r="E118" s="7">
        <v>93027.88</v>
      </c>
    </row>
    <row r="119" ht="15.0" customHeight="1">
      <c r="A119" s="8">
        <v>1567.0</v>
      </c>
      <c r="B119" s="9" t="s">
        <v>87</v>
      </c>
      <c r="C119" s="10" t="s">
        <v>131</v>
      </c>
      <c r="D119" s="8" t="s">
        <v>5</v>
      </c>
      <c r="E119" s="11">
        <v>417912.55</v>
      </c>
    </row>
    <row r="120" ht="15.0" customHeight="1">
      <c r="A120" s="4">
        <v>1565.0</v>
      </c>
      <c r="B120" s="5" t="s">
        <v>87</v>
      </c>
      <c r="C120" s="6" t="s">
        <v>132</v>
      </c>
      <c r="D120" s="4" t="s">
        <v>5</v>
      </c>
      <c r="E120" s="7">
        <v>570285.78</v>
      </c>
    </row>
    <row r="121" ht="15.0" customHeight="1">
      <c r="A121" s="8">
        <v>698.0</v>
      </c>
      <c r="B121" s="9" t="s">
        <v>87</v>
      </c>
      <c r="C121" s="10" t="s">
        <v>133</v>
      </c>
      <c r="D121" s="8" t="s">
        <v>5</v>
      </c>
      <c r="E121" s="11">
        <v>429360.28</v>
      </c>
    </row>
    <row r="122" ht="15.0" customHeight="1">
      <c r="A122" s="4">
        <v>403.0</v>
      </c>
      <c r="B122" s="5" t="s">
        <v>87</v>
      </c>
      <c r="C122" s="6" t="s">
        <v>134</v>
      </c>
      <c r="D122" s="4" t="s">
        <v>5</v>
      </c>
      <c r="E122" s="7">
        <v>323671.61</v>
      </c>
    </row>
    <row r="123" ht="15.0" customHeight="1">
      <c r="A123" s="8">
        <v>1571.0</v>
      </c>
      <c r="B123" s="9" t="s">
        <v>87</v>
      </c>
      <c r="C123" s="10" t="s">
        <v>135</v>
      </c>
      <c r="D123" s="8" t="s">
        <v>5</v>
      </c>
      <c r="E123" s="11">
        <v>533217.19</v>
      </c>
    </row>
    <row r="124" ht="15.0" customHeight="1">
      <c r="A124" s="4">
        <v>1564.0</v>
      </c>
      <c r="B124" s="5" t="s">
        <v>87</v>
      </c>
      <c r="C124" s="6" t="s">
        <v>136</v>
      </c>
      <c r="D124" s="4" t="s">
        <v>5</v>
      </c>
      <c r="E124" s="7">
        <v>99800.01</v>
      </c>
    </row>
    <row r="125" ht="15.0" customHeight="1">
      <c r="A125" s="8">
        <v>1556.0</v>
      </c>
      <c r="B125" s="9" t="s">
        <v>87</v>
      </c>
      <c r="C125" s="10" t="s">
        <v>137</v>
      </c>
      <c r="D125" s="8" t="s">
        <v>5</v>
      </c>
      <c r="E125" s="11">
        <v>1459575.1</v>
      </c>
    </row>
    <row r="126" ht="15.0" customHeight="1">
      <c r="A126" s="4">
        <v>377.0</v>
      </c>
      <c r="B126" s="5" t="s">
        <v>87</v>
      </c>
      <c r="C126" s="6" t="s">
        <v>138</v>
      </c>
      <c r="D126" s="4" t="s">
        <v>5</v>
      </c>
      <c r="E126" s="7">
        <v>599610.32</v>
      </c>
    </row>
    <row r="127" ht="15.0" customHeight="1">
      <c r="A127" s="8">
        <v>1550.0</v>
      </c>
      <c r="B127" s="9" t="s">
        <v>87</v>
      </c>
      <c r="C127" s="10" t="s">
        <v>139</v>
      </c>
      <c r="D127" s="8" t="s">
        <v>5</v>
      </c>
      <c r="E127" s="11">
        <v>222767.87</v>
      </c>
    </row>
    <row r="128" ht="15.0" customHeight="1">
      <c r="A128" s="4">
        <v>1544.0</v>
      </c>
      <c r="B128" s="5" t="s">
        <v>87</v>
      </c>
      <c r="C128" s="6" t="s">
        <v>140</v>
      </c>
      <c r="D128" s="4" t="s">
        <v>5</v>
      </c>
      <c r="E128" s="7">
        <v>283360.76</v>
      </c>
    </row>
    <row r="129" ht="15.0" customHeight="1">
      <c r="A129" s="8">
        <v>693.0</v>
      </c>
      <c r="B129" s="9" t="s">
        <v>87</v>
      </c>
      <c r="C129" s="10" t="s">
        <v>141</v>
      </c>
      <c r="D129" s="8" t="s">
        <v>5</v>
      </c>
      <c r="E129" s="11">
        <v>571104.22</v>
      </c>
    </row>
    <row r="130" ht="15.0" customHeight="1">
      <c r="A130" s="4">
        <v>1538.0</v>
      </c>
      <c r="B130" s="5" t="s">
        <v>87</v>
      </c>
      <c r="C130" s="6" t="s">
        <v>142</v>
      </c>
      <c r="D130" s="4" t="s">
        <v>5</v>
      </c>
      <c r="E130" s="7">
        <v>944535.76</v>
      </c>
    </row>
    <row r="131" ht="15.0" customHeight="1">
      <c r="A131" s="8">
        <v>339.0</v>
      </c>
      <c r="B131" s="9" t="s">
        <v>87</v>
      </c>
      <c r="C131" s="10" t="s">
        <v>143</v>
      </c>
      <c r="D131" s="8" t="s">
        <v>5</v>
      </c>
      <c r="E131" s="11">
        <v>884670.93</v>
      </c>
    </row>
    <row r="132" ht="15.0" customHeight="1">
      <c r="A132" s="4">
        <v>1553.0</v>
      </c>
      <c r="B132" s="5" t="s">
        <v>87</v>
      </c>
      <c r="C132" s="6" t="s">
        <v>144</v>
      </c>
      <c r="D132" s="4" t="s">
        <v>5</v>
      </c>
      <c r="E132" s="7">
        <v>385655.76</v>
      </c>
    </row>
    <row r="133" ht="15.0" customHeight="1">
      <c r="A133" s="8">
        <v>367.0</v>
      </c>
      <c r="B133" s="9" t="s">
        <v>87</v>
      </c>
      <c r="C133" s="10" t="s">
        <v>145</v>
      </c>
      <c r="D133" s="8" t="s">
        <v>5</v>
      </c>
      <c r="E133" s="11">
        <v>220519.84</v>
      </c>
    </row>
    <row r="134" ht="15.0" customHeight="1">
      <c r="A134" s="4">
        <v>1547.0</v>
      </c>
      <c r="B134" s="5" t="s">
        <v>87</v>
      </c>
      <c r="C134" s="6" t="s">
        <v>146</v>
      </c>
      <c r="D134" s="4" t="s">
        <v>5</v>
      </c>
      <c r="E134" s="7">
        <v>59523.61</v>
      </c>
    </row>
    <row r="135" ht="15.0" customHeight="1">
      <c r="A135" s="8">
        <v>695.0</v>
      </c>
      <c r="B135" s="9" t="s">
        <v>87</v>
      </c>
      <c r="C135" s="10" t="s">
        <v>147</v>
      </c>
      <c r="D135" s="8" t="s">
        <v>5</v>
      </c>
      <c r="E135" s="11">
        <v>252622.67</v>
      </c>
    </row>
    <row r="136" ht="15.0" customHeight="1">
      <c r="A136" s="4">
        <v>1541.0</v>
      </c>
      <c r="B136" s="5" t="s">
        <v>87</v>
      </c>
      <c r="C136" s="6" t="s">
        <v>148</v>
      </c>
      <c r="D136" s="4" t="s">
        <v>5</v>
      </c>
      <c r="E136" s="7">
        <v>110849.27</v>
      </c>
    </row>
    <row r="137" ht="15.0" customHeight="1">
      <c r="A137" s="8">
        <v>370.0</v>
      </c>
      <c r="B137" s="9" t="s">
        <v>87</v>
      </c>
      <c r="C137" s="10" t="s">
        <v>149</v>
      </c>
      <c r="D137" s="8" t="s">
        <v>5</v>
      </c>
      <c r="E137" s="11">
        <v>139581.42</v>
      </c>
    </row>
    <row r="138" ht="15.0" customHeight="1">
      <c r="A138" s="4">
        <v>369.0</v>
      </c>
      <c r="B138" s="5" t="s">
        <v>87</v>
      </c>
      <c r="C138" s="6" t="s">
        <v>150</v>
      </c>
      <c r="D138" s="4" t="s">
        <v>5</v>
      </c>
      <c r="E138" s="7">
        <v>156291.87</v>
      </c>
    </row>
    <row r="139" ht="15.0" customHeight="1">
      <c r="A139" s="8">
        <v>385.0</v>
      </c>
      <c r="B139" s="9" t="s">
        <v>87</v>
      </c>
      <c r="C139" s="10" t="s">
        <v>151</v>
      </c>
      <c r="D139" s="8" t="s">
        <v>5</v>
      </c>
      <c r="E139" s="11">
        <v>243776.0</v>
      </c>
    </row>
    <row r="140" ht="15.0" customHeight="1">
      <c r="A140" s="4">
        <v>1427.0</v>
      </c>
      <c r="B140" s="5" t="s">
        <v>87</v>
      </c>
      <c r="C140" s="6" t="s">
        <v>152</v>
      </c>
      <c r="D140" s="4" t="s">
        <v>5</v>
      </c>
      <c r="E140" s="7">
        <v>12132.66</v>
      </c>
    </row>
    <row r="141" ht="15.0" customHeight="1">
      <c r="A141" s="8">
        <v>1583.0</v>
      </c>
      <c r="B141" s="9" t="s">
        <v>87</v>
      </c>
      <c r="C141" s="10" t="s">
        <v>153</v>
      </c>
      <c r="D141" s="8" t="s">
        <v>5</v>
      </c>
      <c r="E141" s="11">
        <v>418803.61</v>
      </c>
    </row>
    <row r="142" ht="15.0" customHeight="1">
      <c r="A142" s="4">
        <v>1562.0</v>
      </c>
      <c r="B142" s="5" t="s">
        <v>87</v>
      </c>
      <c r="C142" s="6" t="s">
        <v>154</v>
      </c>
      <c r="D142" s="4" t="s">
        <v>5</v>
      </c>
      <c r="E142" s="7">
        <v>161818.6</v>
      </c>
    </row>
    <row r="143" ht="15.0" customHeight="1">
      <c r="A143" s="8">
        <v>1554.0</v>
      </c>
      <c r="B143" s="9" t="s">
        <v>87</v>
      </c>
      <c r="C143" s="10" t="s">
        <v>155</v>
      </c>
      <c r="D143" s="8" t="s">
        <v>5</v>
      </c>
      <c r="E143" s="11">
        <v>392071.43</v>
      </c>
    </row>
    <row r="144" ht="15.0" customHeight="1">
      <c r="A144" s="4">
        <v>713.0</v>
      </c>
      <c r="B144" s="5" t="s">
        <v>87</v>
      </c>
      <c r="C144" s="6" t="s">
        <v>156</v>
      </c>
      <c r="D144" s="4" t="s">
        <v>5</v>
      </c>
      <c r="E144" s="7">
        <v>346956.9</v>
      </c>
    </row>
    <row r="145" ht="15.0" customHeight="1">
      <c r="A145" s="8">
        <v>1582.0</v>
      </c>
      <c r="B145" s="9" t="s">
        <v>87</v>
      </c>
      <c r="C145" s="10" t="s">
        <v>157</v>
      </c>
      <c r="D145" s="8" t="s">
        <v>5</v>
      </c>
      <c r="E145" s="11">
        <v>626245.04</v>
      </c>
    </row>
    <row r="146" ht="15.0" customHeight="1">
      <c r="A146" s="4">
        <v>1581.0</v>
      </c>
      <c r="B146" s="5" t="s">
        <v>87</v>
      </c>
      <c r="C146" s="6" t="s">
        <v>158</v>
      </c>
      <c r="D146" s="4" t="s">
        <v>5</v>
      </c>
      <c r="E146" s="7">
        <v>185342.88</v>
      </c>
    </row>
    <row r="147" ht="15.0" customHeight="1">
      <c r="A147" s="8">
        <v>745.0</v>
      </c>
      <c r="B147" s="9" t="s">
        <v>87</v>
      </c>
      <c r="C147" s="10" t="s">
        <v>159</v>
      </c>
      <c r="D147" s="8" t="s">
        <v>5</v>
      </c>
      <c r="E147" s="11">
        <v>295683.85</v>
      </c>
    </row>
    <row r="148" ht="15.0" customHeight="1">
      <c r="A148" s="4">
        <v>391.0</v>
      </c>
      <c r="B148" s="5" t="s">
        <v>87</v>
      </c>
      <c r="C148" s="6" t="s">
        <v>160</v>
      </c>
      <c r="D148" s="4" t="s">
        <v>5</v>
      </c>
      <c r="E148" s="7">
        <v>216252.92</v>
      </c>
    </row>
    <row r="149" ht="15.0" customHeight="1">
      <c r="A149" s="8">
        <v>1560.0</v>
      </c>
      <c r="B149" s="9" t="s">
        <v>87</v>
      </c>
      <c r="C149" s="10" t="s">
        <v>161</v>
      </c>
      <c r="D149" s="8" t="s">
        <v>5</v>
      </c>
      <c r="E149" s="11">
        <v>313657.17</v>
      </c>
    </row>
    <row r="150" ht="15.0" customHeight="1">
      <c r="A150" s="4">
        <v>1561.0</v>
      </c>
      <c r="B150" s="5" t="s">
        <v>87</v>
      </c>
      <c r="C150" s="6" t="s">
        <v>162</v>
      </c>
      <c r="D150" s="4" t="s">
        <v>5</v>
      </c>
      <c r="E150" s="7">
        <v>66830.37</v>
      </c>
    </row>
    <row r="151" ht="15.0" customHeight="1">
      <c r="A151" s="8">
        <v>393.0</v>
      </c>
      <c r="B151" s="9" t="s">
        <v>87</v>
      </c>
      <c r="C151" s="10" t="s">
        <v>163</v>
      </c>
      <c r="D151" s="8" t="s">
        <v>5</v>
      </c>
      <c r="E151" s="11">
        <v>265401.22</v>
      </c>
    </row>
    <row r="152" ht="15.0" customHeight="1">
      <c r="A152" s="4">
        <v>397.0</v>
      </c>
      <c r="B152" s="5" t="s">
        <v>87</v>
      </c>
      <c r="C152" s="6" t="s">
        <v>164</v>
      </c>
      <c r="D152" s="4" t="s">
        <v>5</v>
      </c>
      <c r="E152" s="7">
        <v>124568.11</v>
      </c>
    </row>
    <row r="153" ht="15.0" customHeight="1">
      <c r="A153" s="8">
        <v>398.0</v>
      </c>
      <c r="B153" s="9" t="s">
        <v>87</v>
      </c>
      <c r="C153" s="10" t="s">
        <v>165</v>
      </c>
      <c r="D153" s="8" t="s">
        <v>5</v>
      </c>
      <c r="E153" s="11">
        <v>152249.93</v>
      </c>
    </row>
    <row r="154" ht="15.0" customHeight="1">
      <c r="A154" s="4">
        <v>395.0</v>
      </c>
      <c r="B154" s="5" t="s">
        <v>87</v>
      </c>
      <c r="C154" s="6" t="s">
        <v>166</v>
      </c>
      <c r="D154" s="4" t="s">
        <v>5</v>
      </c>
      <c r="E154" s="7">
        <v>89965.88</v>
      </c>
    </row>
    <row r="155" ht="15.0" customHeight="1">
      <c r="A155" s="8">
        <v>383.0</v>
      </c>
      <c r="B155" s="9" t="s">
        <v>87</v>
      </c>
      <c r="C155" s="10" t="s">
        <v>167</v>
      </c>
      <c r="D155" s="8" t="s">
        <v>5</v>
      </c>
      <c r="E155" s="11">
        <v>401985.37</v>
      </c>
    </row>
    <row r="156" ht="15.0" customHeight="1">
      <c r="A156" s="4">
        <v>372.0</v>
      </c>
      <c r="B156" s="5" t="s">
        <v>87</v>
      </c>
      <c r="C156" s="6" t="s">
        <v>168</v>
      </c>
      <c r="D156" s="4" t="s">
        <v>5</v>
      </c>
      <c r="E156" s="7">
        <v>499656.56</v>
      </c>
    </row>
    <row r="157" ht="15.0" customHeight="1">
      <c r="A157" s="8">
        <v>371.0</v>
      </c>
      <c r="B157" s="9" t="s">
        <v>87</v>
      </c>
      <c r="C157" s="10" t="s">
        <v>169</v>
      </c>
      <c r="D157" s="8" t="s">
        <v>5</v>
      </c>
      <c r="E157" s="11">
        <v>186763.87</v>
      </c>
    </row>
    <row r="158" ht="15.0" customHeight="1">
      <c r="A158" s="4">
        <v>1535.0</v>
      </c>
      <c r="B158" s="5" t="s">
        <v>170</v>
      </c>
      <c r="C158" s="6" t="s">
        <v>171</v>
      </c>
      <c r="D158" s="4" t="s">
        <v>5</v>
      </c>
      <c r="E158" s="7">
        <v>74941.51</v>
      </c>
    </row>
    <row r="159" ht="15.0" customHeight="1">
      <c r="A159" s="8">
        <v>481.0</v>
      </c>
      <c r="B159" s="9" t="s">
        <v>170</v>
      </c>
      <c r="C159" s="10" t="s">
        <v>172</v>
      </c>
      <c r="D159" s="8" t="s">
        <v>5</v>
      </c>
      <c r="E159" s="11">
        <v>69241.01</v>
      </c>
    </row>
    <row r="160" ht="15.0" customHeight="1">
      <c r="A160" s="4">
        <v>1073.0</v>
      </c>
      <c r="B160" s="5" t="s">
        <v>170</v>
      </c>
      <c r="C160" s="6" t="s">
        <v>173</v>
      </c>
      <c r="D160" s="4" t="s">
        <v>5</v>
      </c>
      <c r="E160" s="7">
        <v>56651.74</v>
      </c>
    </row>
    <row r="161" ht="15.0" customHeight="1">
      <c r="A161" s="8">
        <v>1394.0</v>
      </c>
      <c r="B161" s="9" t="s">
        <v>170</v>
      </c>
      <c r="C161" s="10" t="s">
        <v>174</v>
      </c>
      <c r="D161" s="8" t="s">
        <v>5</v>
      </c>
      <c r="E161" s="11">
        <v>39157.74</v>
      </c>
    </row>
    <row r="162" ht="15.0" customHeight="1">
      <c r="A162" s="4">
        <v>65.0</v>
      </c>
      <c r="B162" s="5" t="s">
        <v>170</v>
      </c>
      <c r="C162" s="6" t="s">
        <v>175</v>
      </c>
      <c r="D162" s="4" t="s">
        <v>19</v>
      </c>
      <c r="E162" s="7">
        <v>1064.26</v>
      </c>
    </row>
    <row r="163" ht="15.0" customHeight="1">
      <c r="A163" s="8">
        <v>64.0</v>
      </c>
      <c r="B163" s="9" t="s">
        <v>170</v>
      </c>
      <c r="C163" s="10" t="s">
        <v>176</v>
      </c>
      <c r="D163" s="8" t="s">
        <v>19</v>
      </c>
      <c r="E163" s="11">
        <v>415.73</v>
      </c>
    </row>
    <row r="164" ht="15.0" customHeight="1">
      <c r="A164" s="4">
        <v>16.0</v>
      </c>
      <c r="B164" s="5" t="s">
        <v>170</v>
      </c>
      <c r="C164" s="6" t="s">
        <v>177</v>
      </c>
      <c r="D164" s="4" t="s">
        <v>19</v>
      </c>
      <c r="E164" s="7">
        <v>3702.14</v>
      </c>
    </row>
    <row r="165" ht="15.0" customHeight="1">
      <c r="A165" s="8">
        <v>15.0</v>
      </c>
      <c r="B165" s="9" t="s">
        <v>170</v>
      </c>
      <c r="C165" s="10" t="s">
        <v>178</v>
      </c>
      <c r="D165" s="8" t="s">
        <v>19</v>
      </c>
      <c r="E165" s="11">
        <v>268.98</v>
      </c>
    </row>
    <row r="166" ht="15.0" customHeight="1">
      <c r="A166" s="4">
        <v>14.0</v>
      </c>
      <c r="B166" s="5" t="s">
        <v>170</v>
      </c>
      <c r="C166" s="6" t="s">
        <v>179</v>
      </c>
      <c r="D166" s="4" t="s">
        <v>19</v>
      </c>
      <c r="E166" s="7">
        <v>312.87</v>
      </c>
    </row>
    <row r="167" ht="15.0" customHeight="1">
      <c r="A167" s="8">
        <v>17.0</v>
      </c>
      <c r="B167" s="9" t="s">
        <v>170</v>
      </c>
      <c r="C167" s="10" t="s">
        <v>180</v>
      </c>
      <c r="D167" s="8" t="s">
        <v>19</v>
      </c>
      <c r="E167" s="11">
        <v>2911.81</v>
      </c>
    </row>
    <row r="168" ht="15.0" customHeight="1">
      <c r="A168" s="4">
        <v>1396.0</v>
      </c>
      <c r="B168" s="5" t="s">
        <v>170</v>
      </c>
      <c r="C168" s="6" t="s">
        <v>181</v>
      </c>
      <c r="D168" s="4" t="s">
        <v>5</v>
      </c>
      <c r="E168" s="7">
        <v>34560.63</v>
      </c>
    </row>
    <row r="169" ht="15.0" customHeight="1">
      <c r="A169" s="8">
        <v>66.0</v>
      </c>
      <c r="B169" s="9" t="s">
        <v>170</v>
      </c>
      <c r="C169" s="10" t="s">
        <v>182</v>
      </c>
      <c r="D169" s="8" t="s">
        <v>19</v>
      </c>
      <c r="E169" s="11">
        <v>1128.45</v>
      </c>
    </row>
    <row r="170" ht="15.0" customHeight="1">
      <c r="A170" s="4">
        <v>607.0</v>
      </c>
      <c r="B170" s="5" t="s">
        <v>170</v>
      </c>
      <c r="C170" s="6" t="s">
        <v>183</v>
      </c>
      <c r="D170" s="4" t="s">
        <v>19</v>
      </c>
      <c r="E170" s="7">
        <v>916.89</v>
      </c>
    </row>
    <row r="171" ht="15.0" customHeight="1">
      <c r="A171" s="8">
        <v>1392.0</v>
      </c>
      <c r="B171" s="9" t="s">
        <v>170</v>
      </c>
      <c r="C171" s="10" t="s">
        <v>184</v>
      </c>
      <c r="D171" s="8" t="s">
        <v>65</v>
      </c>
      <c r="E171" s="11">
        <v>152453.74</v>
      </c>
    </row>
    <row r="172" ht="15.0" customHeight="1">
      <c r="A172" s="4">
        <v>75.0</v>
      </c>
      <c r="B172" s="5" t="s">
        <v>170</v>
      </c>
      <c r="C172" s="6" t="s">
        <v>185</v>
      </c>
      <c r="D172" s="4" t="s">
        <v>65</v>
      </c>
      <c r="E172" s="7">
        <v>127151.68</v>
      </c>
    </row>
    <row r="173" ht="15.0" customHeight="1">
      <c r="A173" s="8">
        <v>76.0</v>
      </c>
      <c r="B173" s="9" t="s">
        <v>170</v>
      </c>
      <c r="C173" s="10" t="s">
        <v>186</v>
      </c>
      <c r="D173" s="8" t="s">
        <v>65</v>
      </c>
      <c r="E173" s="11">
        <v>136233.96</v>
      </c>
    </row>
    <row r="174" ht="15.0" customHeight="1">
      <c r="A174" s="4">
        <v>77.0</v>
      </c>
      <c r="B174" s="5" t="s">
        <v>170</v>
      </c>
      <c r="C174" s="6" t="s">
        <v>187</v>
      </c>
      <c r="D174" s="4" t="s">
        <v>65</v>
      </c>
      <c r="E174" s="7">
        <v>172562.99</v>
      </c>
    </row>
    <row r="175" ht="15.0" customHeight="1">
      <c r="A175" s="8">
        <v>975.0</v>
      </c>
      <c r="B175" s="9" t="s">
        <v>170</v>
      </c>
      <c r="C175" s="10" t="s">
        <v>188</v>
      </c>
      <c r="D175" s="8" t="s">
        <v>19</v>
      </c>
      <c r="E175" s="11">
        <v>1161.2</v>
      </c>
    </row>
    <row r="176" ht="15.0" customHeight="1">
      <c r="A176" s="4">
        <v>976.0</v>
      </c>
      <c r="B176" s="5" t="s">
        <v>170</v>
      </c>
      <c r="C176" s="6" t="s">
        <v>189</v>
      </c>
      <c r="D176" s="4" t="s">
        <v>5</v>
      </c>
      <c r="E176" s="7">
        <v>34854.31</v>
      </c>
    </row>
    <row r="177" ht="15.0" customHeight="1">
      <c r="A177" s="8">
        <v>1536.0</v>
      </c>
      <c r="B177" s="9" t="s">
        <v>170</v>
      </c>
      <c r="C177" s="10" t="s">
        <v>190</v>
      </c>
      <c r="D177" s="8" t="s">
        <v>5</v>
      </c>
      <c r="E177" s="11">
        <v>90033.03</v>
      </c>
    </row>
    <row r="178" ht="15.0" customHeight="1">
      <c r="A178" s="4">
        <v>420.0</v>
      </c>
      <c r="B178" s="5" t="s">
        <v>170</v>
      </c>
      <c r="C178" s="6" t="s">
        <v>191</v>
      </c>
      <c r="D178" s="4" t="s">
        <v>19</v>
      </c>
      <c r="E178" s="7">
        <v>3668.85</v>
      </c>
    </row>
    <row r="179" ht="15.0" customHeight="1">
      <c r="A179" s="8">
        <v>620.0</v>
      </c>
      <c r="B179" s="9" t="s">
        <v>170</v>
      </c>
      <c r="C179" s="10" t="s">
        <v>192</v>
      </c>
      <c r="D179" s="8" t="s">
        <v>19</v>
      </c>
      <c r="E179" s="11">
        <v>4494.42</v>
      </c>
    </row>
    <row r="180" ht="15.0" customHeight="1">
      <c r="A180" s="4">
        <v>458.0</v>
      </c>
      <c r="B180" s="5" t="s">
        <v>170</v>
      </c>
      <c r="C180" s="6" t="s">
        <v>193</v>
      </c>
      <c r="D180" s="4" t="s">
        <v>5</v>
      </c>
      <c r="E180" s="7">
        <v>27333.1</v>
      </c>
    </row>
    <row r="181" ht="15.0" customHeight="1">
      <c r="A181" s="8">
        <v>619.0</v>
      </c>
      <c r="B181" s="9" t="s">
        <v>170</v>
      </c>
      <c r="C181" s="10" t="s">
        <v>194</v>
      </c>
      <c r="D181" s="8" t="s">
        <v>5</v>
      </c>
      <c r="E181" s="11">
        <v>41274.85</v>
      </c>
    </row>
    <row r="182" ht="15.0" customHeight="1">
      <c r="A182" s="4">
        <v>1063.0</v>
      </c>
      <c r="B182" s="5" t="s">
        <v>170</v>
      </c>
      <c r="C182" s="6" t="s">
        <v>195</v>
      </c>
      <c r="D182" s="4" t="s">
        <v>19</v>
      </c>
      <c r="E182" s="7">
        <v>13758.28</v>
      </c>
    </row>
    <row r="183" ht="15.0" customHeight="1">
      <c r="A183" s="8">
        <v>421.0</v>
      </c>
      <c r="B183" s="9" t="s">
        <v>170</v>
      </c>
      <c r="C183" s="10" t="s">
        <v>196</v>
      </c>
      <c r="D183" s="8" t="s">
        <v>19</v>
      </c>
      <c r="E183" s="11">
        <v>8254.98</v>
      </c>
    </row>
    <row r="184" ht="15.0" customHeight="1">
      <c r="A184" s="4">
        <v>1728.0</v>
      </c>
      <c r="B184" s="5" t="s">
        <v>170</v>
      </c>
      <c r="C184" s="6" t="s">
        <v>197</v>
      </c>
      <c r="D184" s="4" t="s">
        <v>19</v>
      </c>
      <c r="E184" s="7">
        <v>1035.37</v>
      </c>
    </row>
    <row r="185" ht="15.0" customHeight="1">
      <c r="A185" s="8">
        <v>993.0</v>
      </c>
      <c r="B185" s="9" t="s">
        <v>170</v>
      </c>
      <c r="C185" s="10" t="s">
        <v>198</v>
      </c>
      <c r="D185" s="8" t="s">
        <v>5</v>
      </c>
      <c r="E185" s="11">
        <v>12474.2</v>
      </c>
    </row>
    <row r="186" ht="15.0" customHeight="1">
      <c r="A186" s="4">
        <v>992.0</v>
      </c>
      <c r="B186" s="5" t="s">
        <v>170</v>
      </c>
      <c r="C186" s="6" t="s">
        <v>199</v>
      </c>
      <c r="D186" s="4" t="s">
        <v>5</v>
      </c>
      <c r="E186" s="7">
        <v>11373.49</v>
      </c>
    </row>
    <row r="187" ht="15.0" customHeight="1">
      <c r="A187" s="8">
        <v>1083.0</v>
      </c>
      <c r="B187" s="9" t="s">
        <v>170</v>
      </c>
      <c r="C187" s="10" t="s">
        <v>200</v>
      </c>
      <c r="D187" s="8" t="s">
        <v>5</v>
      </c>
      <c r="E187" s="11">
        <v>35109.92</v>
      </c>
    </row>
    <row r="188" ht="15.0" customHeight="1">
      <c r="A188" s="4">
        <v>1456.0</v>
      </c>
      <c r="B188" s="5" t="s">
        <v>201</v>
      </c>
      <c r="C188" s="6" t="s">
        <v>202</v>
      </c>
      <c r="D188" s="4" t="s">
        <v>22</v>
      </c>
      <c r="E188" s="7">
        <v>167127.35</v>
      </c>
    </row>
    <row r="189" ht="15.0" customHeight="1">
      <c r="A189" s="8">
        <v>1485.0</v>
      </c>
      <c r="B189" s="9" t="s">
        <v>201</v>
      </c>
      <c r="C189" s="10" t="s">
        <v>203</v>
      </c>
      <c r="D189" s="8" t="s">
        <v>22</v>
      </c>
      <c r="E189" s="11">
        <v>125732.38</v>
      </c>
    </row>
    <row r="190" ht="15.0" customHeight="1">
      <c r="A190" s="4">
        <v>1483.0</v>
      </c>
      <c r="B190" s="5" t="s">
        <v>201</v>
      </c>
      <c r="C190" s="6" t="s">
        <v>204</v>
      </c>
      <c r="D190" s="4" t="s">
        <v>22</v>
      </c>
      <c r="E190" s="7">
        <v>106388.93</v>
      </c>
    </row>
    <row r="191" ht="15.0" customHeight="1">
      <c r="A191" s="8">
        <v>1484.0</v>
      </c>
      <c r="B191" s="9" t="s">
        <v>201</v>
      </c>
      <c r="C191" s="10" t="s">
        <v>205</v>
      </c>
      <c r="D191" s="8" t="s">
        <v>22</v>
      </c>
      <c r="E191" s="11">
        <v>106388.93</v>
      </c>
    </row>
    <row r="192" ht="15.0" customHeight="1">
      <c r="A192" s="4">
        <v>836.0</v>
      </c>
      <c r="B192" s="5" t="s">
        <v>201</v>
      </c>
      <c r="C192" s="6" t="s">
        <v>206</v>
      </c>
      <c r="D192" s="4" t="s">
        <v>5</v>
      </c>
      <c r="E192" s="7">
        <v>3059046.42</v>
      </c>
    </row>
    <row r="193" ht="15.0" customHeight="1">
      <c r="A193" s="8">
        <v>837.0</v>
      </c>
      <c r="B193" s="9" t="s">
        <v>201</v>
      </c>
      <c r="C193" s="10" t="s">
        <v>207</v>
      </c>
      <c r="D193" s="8" t="s">
        <v>5</v>
      </c>
      <c r="E193" s="11">
        <v>2268792.73</v>
      </c>
    </row>
    <row r="194" ht="15.0" customHeight="1">
      <c r="A194" s="4">
        <v>1482.0</v>
      </c>
      <c r="B194" s="5" t="s">
        <v>201</v>
      </c>
      <c r="C194" s="6" t="s">
        <v>208</v>
      </c>
      <c r="D194" s="4" t="s">
        <v>76</v>
      </c>
      <c r="E194" s="7">
        <v>0.0</v>
      </c>
    </row>
    <row r="195" ht="15.0" customHeight="1">
      <c r="A195" s="8">
        <v>1480.0</v>
      </c>
      <c r="B195" s="9" t="s">
        <v>201</v>
      </c>
      <c r="C195" s="10" t="s">
        <v>209</v>
      </c>
      <c r="D195" s="8" t="s">
        <v>76</v>
      </c>
      <c r="E195" s="11">
        <v>0.0</v>
      </c>
    </row>
    <row r="196" ht="15.0" customHeight="1">
      <c r="A196" s="4">
        <v>1481.0</v>
      </c>
      <c r="B196" s="5" t="s">
        <v>201</v>
      </c>
      <c r="C196" s="6" t="s">
        <v>210</v>
      </c>
      <c r="D196" s="4" t="s">
        <v>76</v>
      </c>
      <c r="E196" s="7">
        <v>0.0</v>
      </c>
    </row>
    <row r="197" ht="15.0" customHeight="1">
      <c r="A197" s="8">
        <v>823.0</v>
      </c>
      <c r="B197" s="9" t="s">
        <v>201</v>
      </c>
      <c r="C197" s="10" t="s">
        <v>211</v>
      </c>
      <c r="D197" s="8" t="s">
        <v>5</v>
      </c>
      <c r="E197" s="11">
        <v>1529523.18</v>
      </c>
    </row>
    <row r="198" ht="15.0" customHeight="1">
      <c r="A198" s="4">
        <v>821.0</v>
      </c>
      <c r="B198" s="5" t="s">
        <v>201</v>
      </c>
      <c r="C198" s="6" t="s">
        <v>212</v>
      </c>
      <c r="D198" s="4" t="s">
        <v>5</v>
      </c>
      <c r="E198" s="7">
        <v>713777.49</v>
      </c>
    </row>
    <row r="199" ht="15.0" customHeight="1">
      <c r="A199" s="8">
        <v>822.0</v>
      </c>
      <c r="B199" s="9" t="s">
        <v>201</v>
      </c>
      <c r="C199" s="10" t="s">
        <v>213</v>
      </c>
      <c r="D199" s="8" t="s">
        <v>5</v>
      </c>
      <c r="E199" s="11">
        <v>1325586.74</v>
      </c>
    </row>
    <row r="200" ht="15.0" customHeight="1">
      <c r="A200" s="4">
        <v>140.0</v>
      </c>
      <c r="B200" s="5" t="s">
        <v>201</v>
      </c>
      <c r="C200" s="6" t="s">
        <v>214</v>
      </c>
      <c r="D200" s="4" t="s">
        <v>5</v>
      </c>
      <c r="E200" s="7">
        <v>726523.49</v>
      </c>
    </row>
    <row r="201" ht="15.0" customHeight="1">
      <c r="A201" s="8">
        <v>141.0</v>
      </c>
      <c r="B201" s="9" t="s">
        <v>201</v>
      </c>
      <c r="C201" s="10" t="s">
        <v>215</v>
      </c>
      <c r="D201" s="8" t="s">
        <v>5</v>
      </c>
      <c r="E201" s="11">
        <v>943205.98</v>
      </c>
    </row>
    <row r="202" ht="15.0" customHeight="1">
      <c r="A202" s="4">
        <v>142.0</v>
      </c>
      <c r="B202" s="5" t="s">
        <v>201</v>
      </c>
      <c r="C202" s="6" t="s">
        <v>216</v>
      </c>
      <c r="D202" s="4" t="s">
        <v>5</v>
      </c>
      <c r="E202" s="7">
        <v>637301.33</v>
      </c>
    </row>
    <row r="203" ht="15.0" customHeight="1">
      <c r="A203" s="8">
        <v>137.0</v>
      </c>
      <c r="B203" s="9" t="s">
        <v>201</v>
      </c>
      <c r="C203" s="10" t="s">
        <v>217</v>
      </c>
      <c r="D203" s="8" t="s">
        <v>5</v>
      </c>
      <c r="E203" s="11">
        <v>397676.03</v>
      </c>
    </row>
    <row r="204" ht="15.0" customHeight="1">
      <c r="A204" s="4">
        <v>136.0</v>
      </c>
      <c r="B204" s="5" t="s">
        <v>201</v>
      </c>
      <c r="C204" s="6" t="s">
        <v>218</v>
      </c>
      <c r="D204" s="4" t="s">
        <v>5</v>
      </c>
      <c r="E204" s="7">
        <v>369634.79</v>
      </c>
    </row>
    <row r="205" ht="15.0" customHeight="1">
      <c r="A205" s="8">
        <v>138.0</v>
      </c>
      <c r="B205" s="9" t="s">
        <v>201</v>
      </c>
      <c r="C205" s="10" t="s">
        <v>219</v>
      </c>
      <c r="D205" s="8" t="s">
        <v>5</v>
      </c>
      <c r="E205" s="11">
        <v>170796.76</v>
      </c>
    </row>
    <row r="206" ht="15.0" customHeight="1">
      <c r="A206" s="4">
        <v>139.0</v>
      </c>
      <c r="B206" s="5" t="s">
        <v>201</v>
      </c>
      <c r="C206" s="6" t="s">
        <v>220</v>
      </c>
      <c r="D206" s="4" t="s">
        <v>5</v>
      </c>
      <c r="E206" s="7">
        <v>191190.43</v>
      </c>
    </row>
    <row r="207" ht="15.0" customHeight="1">
      <c r="A207" s="8">
        <v>832.0</v>
      </c>
      <c r="B207" s="9" t="s">
        <v>201</v>
      </c>
      <c r="C207" s="10" t="s">
        <v>221</v>
      </c>
      <c r="D207" s="8" t="s">
        <v>5</v>
      </c>
      <c r="E207" s="11">
        <v>1580507.3</v>
      </c>
    </row>
    <row r="208" ht="15.0" customHeight="1">
      <c r="A208" s="4">
        <v>830.0</v>
      </c>
      <c r="B208" s="5" t="s">
        <v>201</v>
      </c>
      <c r="C208" s="6" t="s">
        <v>222</v>
      </c>
      <c r="D208" s="4" t="s">
        <v>5</v>
      </c>
      <c r="E208" s="7">
        <v>994190.08</v>
      </c>
    </row>
    <row r="209" ht="15.0" customHeight="1">
      <c r="A209" s="8">
        <v>831.0</v>
      </c>
      <c r="B209" s="9" t="s">
        <v>201</v>
      </c>
      <c r="C209" s="10" t="s">
        <v>223</v>
      </c>
      <c r="D209" s="8" t="s">
        <v>5</v>
      </c>
      <c r="E209" s="11">
        <v>1147142.39</v>
      </c>
    </row>
    <row r="210" ht="15.0" customHeight="1">
      <c r="A210" s="4">
        <v>835.0</v>
      </c>
      <c r="B210" s="5" t="s">
        <v>201</v>
      </c>
      <c r="C210" s="6" t="s">
        <v>224</v>
      </c>
      <c r="D210" s="4" t="s">
        <v>5</v>
      </c>
      <c r="E210" s="7">
        <v>1121650.31</v>
      </c>
    </row>
    <row r="211" ht="15.0" customHeight="1">
      <c r="A211" s="8">
        <v>833.0</v>
      </c>
      <c r="B211" s="9" t="s">
        <v>201</v>
      </c>
      <c r="C211" s="10" t="s">
        <v>225</v>
      </c>
      <c r="D211" s="8" t="s">
        <v>5</v>
      </c>
      <c r="E211" s="11">
        <v>739269.56</v>
      </c>
    </row>
    <row r="212" ht="15.0" customHeight="1">
      <c r="A212" s="4">
        <v>834.0</v>
      </c>
      <c r="B212" s="5" t="s">
        <v>201</v>
      </c>
      <c r="C212" s="6" t="s">
        <v>226</v>
      </c>
      <c r="D212" s="4" t="s">
        <v>5</v>
      </c>
      <c r="E212" s="7">
        <v>892221.87</v>
      </c>
    </row>
    <row r="213" ht="15.0" customHeight="1">
      <c r="A213" s="8">
        <v>1747.0</v>
      </c>
      <c r="B213" s="9" t="s">
        <v>201</v>
      </c>
      <c r="C213" s="10" t="s">
        <v>227</v>
      </c>
      <c r="D213" s="8" t="s">
        <v>5</v>
      </c>
      <c r="E213" s="11">
        <v>1300375.0</v>
      </c>
    </row>
    <row r="214" ht="15.0" customHeight="1">
      <c r="A214" s="4">
        <v>1748.0</v>
      </c>
      <c r="B214" s="5" t="s">
        <v>201</v>
      </c>
      <c r="C214" s="6" t="s">
        <v>228</v>
      </c>
      <c r="D214" s="4" t="s">
        <v>5</v>
      </c>
      <c r="E214" s="7">
        <v>1092315.0</v>
      </c>
    </row>
    <row r="215" ht="15.0" customHeight="1">
      <c r="A215" s="8">
        <v>131.0</v>
      </c>
      <c r="B215" s="9" t="s">
        <v>201</v>
      </c>
      <c r="C215" s="10" t="s">
        <v>229</v>
      </c>
      <c r="D215" s="8" t="s">
        <v>5</v>
      </c>
      <c r="E215" s="11">
        <v>866729.8</v>
      </c>
    </row>
    <row r="216" ht="15.0" customHeight="1">
      <c r="A216" s="4">
        <v>132.0</v>
      </c>
      <c r="B216" s="5" t="s">
        <v>201</v>
      </c>
      <c r="C216" s="6" t="s">
        <v>230</v>
      </c>
      <c r="D216" s="4" t="s">
        <v>5</v>
      </c>
      <c r="E216" s="7">
        <v>943205.98</v>
      </c>
    </row>
    <row r="217" ht="15.0" customHeight="1">
      <c r="A217" s="8">
        <v>135.0</v>
      </c>
      <c r="B217" s="9" t="s">
        <v>201</v>
      </c>
      <c r="C217" s="10" t="s">
        <v>231</v>
      </c>
      <c r="D217" s="8" t="s">
        <v>5</v>
      </c>
      <c r="E217" s="11">
        <v>1096158.28</v>
      </c>
    </row>
    <row r="218" ht="15.0" customHeight="1">
      <c r="A218" s="4">
        <v>134.0</v>
      </c>
      <c r="B218" s="5" t="s">
        <v>201</v>
      </c>
      <c r="C218" s="6" t="s">
        <v>232</v>
      </c>
      <c r="D218" s="4" t="s">
        <v>5</v>
      </c>
      <c r="E218" s="7">
        <v>1019682.12</v>
      </c>
    </row>
    <row r="219" ht="15.0" customHeight="1">
      <c r="A219" s="8">
        <v>826.0</v>
      </c>
      <c r="B219" s="9" t="s">
        <v>201</v>
      </c>
      <c r="C219" s="10" t="s">
        <v>233</v>
      </c>
      <c r="D219" s="8" t="s">
        <v>5</v>
      </c>
      <c r="E219" s="11">
        <v>1070666.22</v>
      </c>
    </row>
    <row r="220" ht="15.0" customHeight="1">
      <c r="A220" s="4">
        <v>824.0</v>
      </c>
      <c r="B220" s="5" t="s">
        <v>201</v>
      </c>
      <c r="C220" s="6" t="s">
        <v>234</v>
      </c>
      <c r="D220" s="4" t="s">
        <v>5</v>
      </c>
      <c r="E220" s="7">
        <v>739269.56</v>
      </c>
    </row>
    <row r="221" ht="15.0" customHeight="1">
      <c r="A221" s="8">
        <v>825.0</v>
      </c>
      <c r="B221" s="9" t="s">
        <v>201</v>
      </c>
      <c r="C221" s="10" t="s">
        <v>235</v>
      </c>
      <c r="D221" s="8" t="s">
        <v>5</v>
      </c>
      <c r="E221" s="11">
        <v>815745.72</v>
      </c>
    </row>
    <row r="222" ht="15.0" customHeight="1">
      <c r="A222" s="4">
        <v>829.0</v>
      </c>
      <c r="B222" s="5" t="s">
        <v>201</v>
      </c>
      <c r="C222" s="6" t="s">
        <v>236</v>
      </c>
      <c r="D222" s="4" t="s">
        <v>5</v>
      </c>
      <c r="E222" s="7">
        <v>892221.87</v>
      </c>
    </row>
    <row r="223" ht="15.0" customHeight="1">
      <c r="A223" s="8">
        <v>827.0</v>
      </c>
      <c r="B223" s="9" t="s">
        <v>201</v>
      </c>
      <c r="C223" s="10" t="s">
        <v>237</v>
      </c>
      <c r="D223" s="8" t="s">
        <v>5</v>
      </c>
      <c r="E223" s="11">
        <v>560825.17</v>
      </c>
    </row>
    <row r="224" ht="15.0" customHeight="1">
      <c r="A224" s="4">
        <v>828.0</v>
      </c>
      <c r="B224" s="5" t="s">
        <v>201</v>
      </c>
      <c r="C224" s="6" t="s">
        <v>238</v>
      </c>
      <c r="D224" s="4" t="s">
        <v>5</v>
      </c>
      <c r="E224" s="7">
        <v>637301.33</v>
      </c>
    </row>
    <row r="225" ht="15.0" customHeight="1">
      <c r="A225" s="8">
        <v>1749.0</v>
      </c>
      <c r="B225" s="9" t="s">
        <v>201</v>
      </c>
      <c r="C225" s="10" t="s">
        <v>239</v>
      </c>
      <c r="D225" s="8" t="s">
        <v>5</v>
      </c>
      <c r="E225" s="11">
        <v>603374.0</v>
      </c>
    </row>
    <row r="226" ht="15.0" customHeight="1">
      <c r="A226" s="4">
        <v>1752.0</v>
      </c>
      <c r="B226" s="5" t="s">
        <v>201</v>
      </c>
      <c r="C226" s="6" t="s">
        <v>240</v>
      </c>
      <c r="D226" s="4" t="s">
        <v>5</v>
      </c>
      <c r="E226" s="7">
        <v>400515.5</v>
      </c>
    </row>
    <row r="227" ht="15.0" customHeight="1">
      <c r="A227" s="8">
        <v>1751.0</v>
      </c>
      <c r="B227" s="9" t="s">
        <v>201</v>
      </c>
      <c r="C227" s="10" t="s">
        <v>241</v>
      </c>
      <c r="D227" s="8" t="s">
        <v>5</v>
      </c>
      <c r="E227" s="11">
        <v>416120.0</v>
      </c>
    </row>
    <row r="228" ht="15.0" customHeight="1">
      <c r="A228" s="4">
        <v>1753.0</v>
      </c>
      <c r="B228" s="5" t="s">
        <v>201</v>
      </c>
      <c r="C228" s="6" t="s">
        <v>242</v>
      </c>
      <c r="D228" s="4" t="s">
        <v>5</v>
      </c>
      <c r="E228" s="7">
        <v>468135.0</v>
      </c>
    </row>
    <row r="229" ht="15.0" customHeight="1">
      <c r="A229" s="8">
        <v>1750.0</v>
      </c>
      <c r="B229" s="9" t="s">
        <v>201</v>
      </c>
      <c r="C229" s="10" t="s">
        <v>243</v>
      </c>
      <c r="D229" s="8" t="s">
        <v>5</v>
      </c>
      <c r="E229" s="11">
        <v>728210.0</v>
      </c>
    </row>
    <row r="230" ht="15.0" customHeight="1">
      <c r="A230" s="4">
        <v>1767.0</v>
      </c>
      <c r="B230" s="5" t="s">
        <v>201</v>
      </c>
      <c r="C230" s="6" t="s">
        <v>244</v>
      </c>
      <c r="D230" s="4" t="s">
        <v>5</v>
      </c>
      <c r="E230" s="7">
        <v>1133000.0</v>
      </c>
    </row>
    <row r="231" ht="15.0" customHeight="1">
      <c r="A231" s="8">
        <v>840.0</v>
      </c>
      <c r="B231" s="9" t="s">
        <v>201</v>
      </c>
      <c r="C231" s="10" t="s">
        <v>245</v>
      </c>
      <c r="D231" s="8" t="s">
        <v>5</v>
      </c>
      <c r="E231" s="11">
        <v>611809.29</v>
      </c>
    </row>
    <row r="232" ht="15.0" customHeight="1">
      <c r="A232" s="4">
        <v>838.0</v>
      </c>
      <c r="B232" s="5" t="s">
        <v>201</v>
      </c>
      <c r="C232" s="6" t="s">
        <v>246</v>
      </c>
      <c r="D232" s="4" t="s">
        <v>5</v>
      </c>
      <c r="E232" s="7">
        <v>382380.81</v>
      </c>
    </row>
    <row r="233" ht="15.0" customHeight="1">
      <c r="A233" s="8">
        <v>839.0</v>
      </c>
      <c r="B233" s="9" t="s">
        <v>201</v>
      </c>
      <c r="C233" s="10" t="s">
        <v>247</v>
      </c>
      <c r="D233" s="8" t="s">
        <v>5</v>
      </c>
      <c r="E233" s="11">
        <v>509841.08</v>
      </c>
    </row>
    <row r="234" ht="15.0" customHeight="1">
      <c r="A234" s="4">
        <v>1469.0</v>
      </c>
      <c r="B234" s="5" t="s">
        <v>248</v>
      </c>
      <c r="C234" s="6" t="s">
        <v>249</v>
      </c>
      <c r="D234" s="4" t="s">
        <v>76</v>
      </c>
      <c r="E234" s="7">
        <v>0.0</v>
      </c>
    </row>
    <row r="235" ht="15.0" customHeight="1">
      <c r="A235" s="8">
        <v>108.0</v>
      </c>
      <c r="B235" s="9" t="s">
        <v>248</v>
      </c>
      <c r="C235" s="10" t="s">
        <v>250</v>
      </c>
      <c r="D235" s="8" t="s">
        <v>5</v>
      </c>
      <c r="E235" s="11">
        <v>3213210.22</v>
      </c>
    </row>
    <row r="236" ht="15.0" customHeight="1">
      <c r="A236" s="4">
        <v>1457.0</v>
      </c>
      <c r="B236" s="5" t="s">
        <v>248</v>
      </c>
      <c r="C236" s="6" t="s">
        <v>251</v>
      </c>
      <c r="D236" s="4" t="s">
        <v>22</v>
      </c>
      <c r="E236" s="7">
        <v>253978.43</v>
      </c>
    </row>
    <row r="237" ht="15.0" customHeight="1">
      <c r="A237" s="8">
        <v>72.0</v>
      </c>
      <c r="B237" s="9" t="s">
        <v>248</v>
      </c>
      <c r="C237" s="10" t="s">
        <v>252</v>
      </c>
      <c r="D237" s="8" t="s">
        <v>22</v>
      </c>
      <c r="E237" s="11">
        <v>321321.01</v>
      </c>
    </row>
    <row r="238" ht="15.0" customHeight="1">
      <c r="A238" s="4">
        <v>71.0</v>
      </c>
      <c r="B238" s="5" t="s">
        <v>248</v>
      </c>
      <c r="C238" s="6" t="s">
        <v>253</v>
      </c>
      <c r="D238" s="4" t="s">
        <v>22</v>
      </c>
      <c r="E238" s="7">
        <v>428428.04</v>
      </c>
    </row>
    <row r="239" ht="15.0" customHeight="1">
      <c r="A239" s="8">
        <v>103.0</v>
      </c>
      <c r="B239" s="9" t="s">
        <v>248</v>
      </c>
      <c r="C239" s="10" t="s">
        <v>254</v>
      </c>
      <c r="D239" s="8" t="s">
        <v>5</v>
      </c>
      <c r="E239" s="11">
        <v>856856.05</v>
      </c>
    </row>
    <row r="240" ht="15.0" customHeight="1">
      <c r="A240" s="4">
        <v>104.0</v>
      </c>
      <c r="B240" s="5" t="s">
        <v>248</v>
      </c>
      <c r="C240" s="6" t="s">
        <v>255</v>
      </c>
      <c r="D240" s="4" t="s">
        <v>5</v>
      </c>
      <c r="E240" s="7">
        <v>937186.33</v>
      </c>
    </row>
    <row r="241" ht="15.0" customHeight="1">
      <c r="A241" s="8">
        <v>101.0</v>
      </c>
      <c r="B241" s="9" t="s">
        <v>248</v>
      </c>
      <c r="C241" s="10" t="s">
        <v>256</v>
      </c>
      <c r="D241" s="8" t="s">
        <v>5</v>
      </c>
      <c r="E241" s="11">
        <v>937186.33</v>
      </c>
    </row>
    <row r="242" ht="15.0" customHeight="1">
      <c r="A242" s="4">
        <v>102.0</v>
      </c>
      <c r="B242" s="5" t="s">
        <v>248</v>
      </c>
      <c r="C242" s="6" t="s">
        <v>257</v>
      </c>
      <c r="D242" s="4" t="s">
        <v>5</v>
      </c>
      <c r="E242" s="7">
        <v>1204953.83</v>
      </c>
    </row>
    <row r="243" ht="15.0" customHeight="1">
      <c r="A243" s="8">
        <v>1459.0</v>
      </c>
      <c r="B243" s="9" t="s">
        <v>248</v>
      </c>
      <c r="C243" s="10" t="s">
        <v>258</v>
      </c>
      <c r="D243" s="8" t="s">
        <v>5</v>
      </c>
      <c r="E243" s="11">
        <v>792412.66</v>
      </c>
    </row>
    <row r="244" ht="15.0" customHeight="1">
      <c r="A244" s="4">
        <v>1460.0</v>
      </c>
      <c r="B244" s="5" t="s">
        <v>248</v>
      </c>
      <c r="C244" s="6" t="s">
        <v>259</v>
      </c>
      <c r="D244" s="4" t="s">
        <v>5</v>
      </c>
      <c r="E244" s="7">
        <v>587198.11</v>
      </c>
    </row>
    <row r="245" ht="15.0" customHeight="1">
      <c r="A245" s="8">
        <v>107.0</v>
      </c>
      <c r="B245" s="9" t="s">
        <v>248</v>
      </c>
      <c r="C245" s="10" t="s">
        <v>260</v>
      </c>
      <c r="D245" s="8" t="s">
        <v>5</v>
      </c>
      <c r="E245" s="11">
        <v>642347.48</v>
      </c>
    </row>
    <row r="246" ht="15.0" customHeight="1">
      <c r="A246" s="4">
        <v>121.0</v>
      </c>
      <c r="B246" s="5" t="s">
        <v>248</v>
      </c>
      <c r="C246" s="6" t="s">
        <v>261</v>
      </c>
      <c r="D246" s="4" t="s">
        <v>5</v>
      </c>
      <c r="E246" s="7">
        <v>294544.27</v>
      </c>
    </row>
    <row r="247" ht="15.0" customHeight="1">
      <c r="A247" s="8">
        <v>817.0</v>
      </c>
      <c r="B247" s="9" t="s">
        <v>248</v>
      </c>
      <c r="C247" s="10" t="s">
        <v>262</v>
      </c>
      <c r="D247" s="8" t="s">
        <v>5</v>
      </c>
      <c r="E247" s="11">
        <v>2650898.44</v>
      </c>
    </row>
    <row r="248" ht="15.0" customHeight="1">
      <c r="A248" s="4">
        <v>815.0</v>
      </c>
      <c r="B248" s="5" t="s">
        <v>248</v>
      </c>
      <c r="C248" s="6" t="s">
        <v>263</v>
      </c>
      <c r="D248" s="4" t="s">
        <v>5</v>
      </c>
      <c r="E248" s="7">
        <v>1740488.86</v>
      </c>
    </row>
    <row r="249" ht="15.0" customHeight="1">
      <c r="A249" s="8">
        <v>816.0</v>
      </c>
      <c r="B249" s="9" t="s">
        <v>248</v>
      </c>
      <c r="C249" s="10" t="s">
        <v>264</v>
      </c>
      <c r="D249" s="8" t="s">
        <v>5</v>
      </c>
      <c r="E249" s="11">
        <v>3347093.94</v>
      </c>
    </row>
    <row r="250" ht="15.0" customHeight="1">
      <c r="A250" s="4">
        <v>106.0</v>
      </c>
      <c r="B250" s="5" t="s">
        <v>248</v>
      </c>
      <c r="C250" s="6" t="s">
        <v>265</v>
      </c>
      <c r="D250" s="4" t="s">
        <v>5</v>
      </c>
      <c r="E250" s="7">
        <v>3882629.02</v>
      </c>
    </row>
    <row r="251" ht="15.0" customHeight="1">
      <c r="A251" s="8">
        <v>1462.0</v>
      </c>
      <c r="B251" s="9" t="s">
        <v>248</v>
      </c>
      <c r="C251" s="10" t="s">
        <v>266</v>
      </c>
      <c r="D251" s="8" t="s">
        <v>5</v>
      </c>
      <c r="E251" s="11">
        <v>8533674.86</v>
      </c>
    </row>
    <row r="252" ht="15.0" customHeight="1">
      <c r="A252" s="4">
        <v>801.0</v>
      </c>
      <c r="B252" s="5" t="s">
        <v>248</v>
      </c>
      <c r="C252" s="6" t="s">
        <v>267</v>
      </c>
      <c r="D252" s="4" t="s">
        <v>5</v>
      </c>
      <c r="E252" s="7">
        <v>883632.81</v>
      </c>
    </row>
    <row r="253" ht="15.0" customHeight="1">
      <c r="A253" s="8">
        <v>802.0</v>
      </c>
      <c r="B253" s="9" t="s">
        <v>248</v>
      </c>
      <c r="C253" s="10" t="s">
        <v>268</v>
      </c>
      <c r="D253" s="8" t="s">
        <v>5</v>
      </c>
      <c r="E253" s="11">
        <v>1071070.08</v>
      </c>
    </row>
    <row r="254" ht="15.0" customHeight="1">
      <c r="A254" s="4">
        <v>800.0</v>
      </c>
      <c r="B254" s="5" t="s">
        <v>248</v>
      </c>
      <c r="C254" s="6" t="s">
        <v>269</v>
      </c>
      <c r="D254" s="4" t="s">
        <v>5</v>
      </c>
      <c r="E254" s="7">
        <v>562311.77</v>
      </c>
    </row>
    <row r="255" ht="15.0" customHeight="1">
      <c r="A255" s="8">
        <v>1729.0</v>
      </c>
      <c r="B255" s="9" t="s">
        <v>248</v>
      </c>
      <c r="C255" s="10" t="s">
        <v>270</v>
      </c>
      <c r="D255" s="8" t="s">
        <v>5</v>
      </c>
      <c r="E255" s="11">
        <v>1390997.76</v>
      </c>
    </row>
    <row r="256" ht="15.0" customHeight="1">
      <c r="A256" s="4">
        <v>1730.0</v>
      </c>
      <c r="B256" s="5" t="s">
        <v>248</v>
      </c>
      <c r="C256" s="6" t="s">
        <v>271</v>
      </c>
      <c r="D256" s="4" t="s">
        <v>5</v>
      </c>
      <c r="E256" s="7">
        <v>2550162.56</v>
      </c>
    </row>
    <row r="257" ht="15.0" customHeight="1">
      <c r="A257" s="8">
        <v>1466.0</v>
      </c>
      <c r="B257" s="9" t="s">
        <v>248</v>
      </c>
      <c r="C257" s="10" t="s">
        <v>272</v>
      </c>
      <c r="D257" s="8" t="s">
        <v>5</v>
      </c>
      <c r="E257" s="11">
        <v>444970.18</v>
      </c>
    </row>
    <row r="258" ht="15.0" customHeight="1">
      <c r="A258" s="4">
        <v>94.0</v>
      </c>
      <c r="B258" s="5" t="s">
        <v>248</v>
      </c>
      <c r="C258" s="6" t="s">
        <v>273</v>
      </c>
      <c r="D258" s="4" t="s">
        <v>5</v>
      </c>
      <c r="E258" s="7">
        <v>318643.33</v>
      </c>
    </row>
    <row r="259" ht="15.0" customHeight="1">
      <c r="A259" s="8">
        <v>95.0</v>
      </c>
      <c r="B259" s="9" t="s">
        <v>248</v>
      </c>
      <c r="C259" s="10" t="s">
        <v>274</v>
      </c>
      <c r="D259" s="8" t="s">
        <v>5</v>
      </c>
      <c r="E259" s="11">
        <v>318643.33</v>
      </c>
    </row>
    <row r="260" ht="15.0" customHeight="1">
      <c r="A260" s="4">
        <v>96.0</v>
      </c>
      <c r="B260" s="5" t="s">
        <v>248</v>
      </c>
      <c r="C260" s="6" t="s">
        <v>275</v>
      </c>
      <c r="D260" s="4" t="s">
        <v>5</v>
      </c>
      <c r="E260" s="7">
        <v>361486.14</v>
      </c>
    </row>
    <row r="261" ht="15.0" customHeight="1">
      <c r="A261" s="8">
        <v>1746.0</v>
      </c>
      <c r="B261" s="9" t="s">
        <v>248</v>
      </c>
      <c r="C261" s="10" t="s">
        <v>276</v>
      </c>
      <c r="D261" s="8" t="s">
        <v>5</v>
      </c>
      <c r="E261" s="11">
        <v>297052.0</v>
      </c>
    </row>
    <row r="262" ht="15.0" customHeight="1">
      <c r="A262" s="4">
        <v>97.0</v>
      </c>
      <c r="B262" s="5" t="s">
        <v>248</v>
      </c>
      <c r="C262" s="6" t="s">
        <v>277</v>
      </c>
      <c r="D262" s="4" t="s">
        <v>5</v>
      </c>
      <c r="E262" s="7">
        <v>372196.87</v>
      </c>
    </row>
    <row r="263" ht="15.0" customHeight="1">
      <c r="A263" s="8">
        <v>98.0</v>
      </c>
      <c r="B263" s="9" t="s">
        <v>248</v>
      </c>
      <c r="C263" s="10" t="s">
        <v>278</v>
      </c>
      <c r="D263" s="8" t="s">
        <v>5</v>
      </c>
      <c r="E263" s="11">
        <v>388262.91</v>
      </c>
    </row>
    <row r="264" ht="15.0" customHeight="1">
      <c r="A264" s="4">
        <v>99.0</v>
      </c>
      <c r="B264" s="5" t="s">
        <v>248</v>
      </c>
      <c r="C264" s="6" t="s">
        <v>279</v>
      </c>
      <c r="D264" s="4" t="s">
        <v>5</v>
      </c>
      <c r="E264" s="7">
        <v>275834.0</v>
      </c>
    </row>
    <row r="265" ht="15.0" customHeight="1">
      <c r="A265" s="8">
        <v>100.0</v>
      </c>
      <c r="B265" s="9" t="s">
        <v>248</v>
      </c>
      <c r="C265" s="10" t="s">
        <v>280</v>
      </c>
      <c r="D265" s="8" t="s">
        <v>5</v>
      </c>
      <c r="E265" s="11">
        <v>669418.79</v>
      </c>
    </row>
    <row r="266" ht="15.0" customHeight="1">
      <c r="A266" s="4">
        <v>1464.0</v>
      </c>
      <c r="B266" s="5" t="s">
        <v>248</v>
      </c>
      <c r="C266" s="6" t="s">
        <v>281</v>
      </c>
      <c r="D266" s="4" t="s">
        <v>5</v>
      </c>
      <c r="E266" s="7">
        <v>247882.93</v>
      </c>
    </row>
    <row r="267" ht="15.0" customHeight="1">
      <c r="A267" s="8">
        <v>797.0</v>
      </c>
      <c r="B267" s="9" t="s">
        <v>248</v>
      </c>
      <c r="C267" s="10" t="s">
        <v>282</v>
      </c>
      <c r="D267" s="8" t="s">
        <v>5</v>
      </c>
      <c r="E267" s="11">
        <v>267767.52</v>
      </c>
    </row>
    <row r="268" ht="15.0" customHeight="1">
      <c r="A268" s="4">
        <v>799.0</v>
      </c>
      <c r="B268" s="5" t="s">
        <v>248</v>
      </c>
      <c r="C268" s="6" t="s">
        <v>283</v>
      </c>
      <c r="D268" s="4" t="s">
        <v>5</v>
      </c>
      <c r="E268" s="7">
        <v>321321.01</v>
      </c>
    </row>
    <row r="269" ht="15.0" customHeight="1">
      <c r="A269" s="8">
        <v>798.0</v>
      </c>
      <c r="B269" s="9" t="s">
        <v>248</v>
      </c>
      <c r="C269" s="10" t="s">
        <v>284</v>
      </c>
      <c r="D269" s="8" t="s">
        <v>5</v>
      </c>
      <c r="E269" s="11">
        <v>281155.92</v>
      </c>
    </row>
    <row r="270" ht="15.0" customHeight="1">
      <c r="A270" s="4">
        <v>1467.0</v>
      </c>
      <c r="B270" s="5" t="s">
        <v>248</v>
      </c>
      <c r="C270" s="6" t="s">
        <v>285</v>
      </c>
      <c r="D270" s="4" t="s">
        <v>5</v>
      </c>
      <c r="E270" s="7">
        <v>213341.91</v>
      </c>
    </row>
    <row r="271" ht="15.0" customHeight="1">
      <c r="A271" s="8">
        <v>1465.0</v>
      </c>
      <c r="B271" s="9" t="s">
        <v>248</v>
      </c>
      <c r="C271" s="10" t="s">
        <v>286</v>
      </c>
      <c r="D271" s="8" t="s">
        <v>5</v>
      </c>
      <c r="E271" s="11">
        <v>325092.39</v>
      </c>
    </row>
    <row r="272" ht="15.0" customHeight="1">
      <c r="A272" s="4">
        <v>1463.0</v>
      </c>
      <c r="B272" s="5" t="s">
        <v>248</v>
      </c>
      <c r="C272" s="6" t="s">
        <v>287</v>
      </c>
      <c r="D272" s="4" t="s">
        <v>5</v>
      </c>
      <c r="E272" s="7">
        <v>3758880.6</v>
      </c>
    </row>
    <row r="273" ht="15.0" customHeight="1">
      <c r="A273" s="8">
        <v>810.0</v>
      </c>
      <c r="B273" s="9" t="s">
        <v>248</v>
      </c>
      <c r="C273" s="10" t="s">
        <v>288</v>
      </c>
      <c r="D273" s="8" t="s">
        <v>5</v>
      </c>
      <c r="E273" s="11">
        <v>1044293.33</v>
      </c>
    </row>
    <row r="274" ht="15.0" customHeight="1">
      <c r="A274" s="4">
        <v>811.0</v>
      </c>
      <c r="B274" s="5" t="s">
        <v>248</v>
      </c>
      <c r="C274" s="6" t="s">
        <v>289</v>
      </c>
      <c r="D274" s="4" t="s">
        <v>5</v>
      </c>
      <c r="E274" s="7">
        <v>1124623.58</v>
      </c>
    </row>
    <row r="275" ht="15.0" customHeight="1">
      <c r="A275" s="8">
        <v>809.0</v>
      </c>
      <c r="B275" s="9" t="s">
        <v>248</v>
      </c>
      <c r="C275" s="10" t="s">
        <v>290</v>
      </c>
      <c r="D275" s="8" t="s">
        <v>5</v>
      </c>
      <c r="E275" s="11">
        <v>763137.4</v>
      </c>
    </row>
    <row r="276" ht="15.0" customHeight="1">
      <c r="A276" s="4">
        <v>813.0</v>
      </c>
      <c r="B276" s="5" t="s">
        <v>248</v>
      </c>
      <c r="C276" s="6" t="s">
        <v>291</v>
      </c>
      <c r="D276" s="4" t="s">
        <v>5</v>
      </c>
      <c r="E276" s="7">
        <v>870244.46</v>
      </c>
    </row>
    <row r="277" ht="15.0" customHeight="1">
      <c r="A277" s="8">
        <v>814.0</v>
      </c>
      <c r="B277" s="9" t="s">
        <v>248</v>
      </c>
      <c r="C277" s="10" t="s">
        <v>292</v>
      </c>
      <c r="D277" s="8" t="s">
        <v>5</v>
      </c>
      <c r="E277" s="11">
        <v>963963.05</v>
      </c>
    </row>
    <row r="278" ht="15.0" customHeight="1">
      <c r="A278" s="4">
        <v>812.0</v>
      </c>
      <c r="B278" s="5" t="s">
        <v>248</v>
      </c>
      <c r="C278" s="6" t="s">
        <v>293</v>
      </c>
      <c r="D278" s="4" t="s">
        <v>5</v>
      </c>
      <c r="E278" s="7">
        <v>682807.19</v>
      </c>
    </row>
    <row r="279" ht="15.0" customHeight="1">
      <c r="A279" s="8">
        <v>109.0</v>
      </c>
      <c r="B279" s="9" t="s">
        <v>248</v>
      </c>
      <c r="C279" s="10" t="s">
        <v>294</v>
      </c>
      <c r="D279" s="8" t="s">
        <v>5</v>
      </c>
      <c r="E279" s="11">
        <v>1071070.08</v>
      </c>
    </row>
    <row r="280" ht="15.0" customHeight="1">
      <c r="A280" s="4">
        <v>110.0</v>
      </c>
      <c r="B280" s="5" t="s">
        <v>248</v>
      </c>
      <c r="C280" s="6" t="s">
        <v>295</v>
      </c>
      <c r="D280" s="4" t="s">
        <v>5</v>
      </c>
      <c r="E280" s="7">
        <v>1178177.08</v>
      </c>
    </row>
    <row r="281" ht="15.0" customHeight="1">
      <c r="A281" s="8">
        <v>112.0</v>
      </c>
      <c r="B281" s="9" t="s">
        <v>248</v>
      </c>
      <c r="C281" s="10" t="s">
        <v>296</v>
      </c>
      <c r="D281" s="8" t="s">
        <v>5</v>
      </c>
      <c r="E281" s="11">
        <v>1499498.1</v>
      </c>
    </row>
    <row r="282" ht="15.0" customHeight="1">
      <c r="A282" s="4">
        <v>113.0</v>
      </c>
      <c r="B282" s="5" t="s">
        <v>248</v>
      </c>
      <c r="C282" s="6" t="s">
        <v>297</v>
      </c>
      <c r="D282" s="4" t="s">
        <v>5</v>
      </c>
      <c r="E282" s="7">
        <v>2302800.63</v>
      </c>
    </row>
    <row r="283" ht="15.0" customHeight="1">
      <c r="A283" s="8">
        <v>111.0</v>
      </c>
      <c r="B283" s="9" t="s">
        <v>248</v>
      </c>
      <c r="C283" s="10" t="s">
        <v>298</v>
      </c>
      <c r="D283" s="8" t="s">
        <v>5</v>
      </c>
      <c r="E283" s="11">
        <v>990739.83</v>
      </c>
    </row>
    <row r="284" ht="15.0" customHeight="1">
      <c r="A284" s="4">
        <v>807.0</v>
      </c>
      <c r="B284" s="5" t="s">
        <v>248</v>
      </c>
      <c r="C284" s="6" t="s">
        <v>299</v>
      </c>
      <c r="D284" s="4" t="s">
        <v>5</v>
      </c>
      <c r="E284" s="7">
        <v>789914.18</v>
      </c>
    </row>
    <row r="285" ht="15.0" customHeight="1">
      <c r="A285" s="8">
        <v>804.0</v>
      </c>
      <c r="B285" s="9" t="s">
        <v>248</v>
      </c>
      <c r="C285" s="10" t="s">
        <v>300</v>
      </c>
      <c r="D285" s="8" t="s">
        <v>5</v>
      </c>
      <c r="E285" s="11">
        <v>763137.4</v>
      </c>
    </row>
    <row r="286" ht="15.0" customHeight="1">
      <c r="A286" s="4">
        <v>808.0</v>
      </c>
      <c r="B286" s="5" t="s">
        <v>248</v>
      </c>
      <c r="C286" s="6" t="s">
        <v>301</v>
      </c>
      <c r="D286" s="4" t="s">
        <v>5</v>
      </c>
      <c r="E286" s="7">
        <v>883632.81</v>
      </c>
    </row>
    <row r="287" ht="15.0" customHeight="1">
      <c r="A287" s="8">
        <v>805.0</v>
      </c>
      <c r="B287" s="9" t="s">
        <v>248</v>
      </c>
      <c r="C287" s="10" t="s">
        <v>302</v>
      </c>
      <c r="D287" s="8" t="s">
        <v>5</v>
      </c>
      <c r="E287" s="11">
        <v>856856.05</v>
      </c>
    </row>
    <row r="288" ht="15.0" customHeight="1">
      <c r="A288" s="4">
        <v>803.0</v>
      </c>
      <c r="B288" s="5" t="s">
        <v>248</v>
      </c>
      <c r="C288" s="6" t="s">
        <v>303</v>
      </c>
      <c r="D288" s="4" t="s">
        <v>5</v>
      </c>
      <c r="E288" s="7">
        <v>696195.54</v>
      </c>
    </row>
    <row r="289" ht="15.0" customHeight="1">
      <c r="A289" s="8">
        <v>806.0</v>
      </c>
      <c r="B289" s="9" t="s">
        <v>248</v>
      </c>
      <c r="C289" s="10" t="s">
        <v>304</v>
      </c>
      <c r="D289" s="8" t="s">
        <v>5</v>
      </c>
      <c r="E289" s="11">
        <v>615865.29</v>
      </c>
    </row>
    <row r="290" ht="15.0" customHeight="1">
      <c r="A290" s="4">
        <v>819.0</v>
      </c>
      <c r="B290" s="5" t="s">
        <v>248</v>
      </c>
      <c r="C290" s="6" t="s">
        <v>305</v>
      </c>
      <c r="D290" s="4" t="s">
        <v>5</v>
      </c>
      <c r="E290" s="7">
        <v>200825.64</v>
      </c>
    </row>
    <row r="291" ht="15.0" customHeight="1">
      <c r="A291" s="8">
        <v>820.0</v>
      </c>
      <c r="B291" s="9" t="s">
        <v>248</v>
      </c>
      <c r="C291" s="10" t="s">
        <v>306</v>
      </c>
      <c r="D291" s="8" t="s">
        <v>5</v>
      </c>
      <c r="E291" s="11">
        <v>254379.14</v>
      </c>
    </row>
    <row r="292" ht="15.0" customHeight="1">
      <c r="A292" s="4">
        <v>818.0</v>
      </c>
      <c r="B292" s="5" t="s">
        <v>248</v>
      </c>
      <c r="C292" s="6" t="s">
        <v>307</v>
      </c>
      <c r="D292" s="4" t="s">
        <v>5</v>
      </c>
      <c r="E292" s="7">
        <v>174048.91</v>
      </c>
    </row>
    <row r="293" ht="15.0" customHeight="1">
      <c r="A293" s="8">
        <v>74.0</v>
      </c>
      <c r="B293" s="9" t="s">
        <v>308</v>
      </c>
      <c r="C293" s="10" t="s">
        <v>309</v>
      </c>
      <c r="D293" s="8" t="s">
        <v>22</v>
      </c>
      <c r="E293" s="11">
        <v>94074.57</v>
      </c>
    </row>
    <row r="294" ht="15.0" customHeight="1">
      <c r="A294" s="4">
        <v>73.0</v>
      </c>
      <c r="B294" s="5" t="s">
        <v>308</v>
      </c>
      <c r="C294" s="6" t="s">
        <v>310</v>
      </c>
      <c r="D294" s="4" t="s">
        <v>22</v>
      </c>
      <c r="E294" s="7">
        <v>117005.24</v>
      </c>
    </row>
    <row r="295" ht="15.0" customHeight="1">
      <c r="A295" s="8">
        <v>123.0</v>
      </c>
      <c r="B295" s="9" t="s">
        <v>308</v>
      </c>
      <c r="C295" s="10" t="s">
        <v>311</v>
      </c>
      <c r="D295" s="8" t="s">
        <v>22</v>
      </c>
      <c r="E295" s="11">
        <v>147873.44</v>
      </c>
    </row>
    <row r="296" ht="15.0" customHeight="1">
      <c r="A296" s="4">
        <v>130.0</v>
      </c>
      <c r="B296" s="5" t="s">
        <v>308</v>
      </c>
      <c r="C296" s="6" t="s">
        <v>312</v>
      </c>
      <c r="D296" s="4" t="s">
        <v>5</v>
      </c>
      <c r="E296" s="7">
        <v>1675703.27</v>
      </c>
    </row>
    <row r="297" ht="15.0" customHeight="1">
      <c r="A297" s="8">
        <v>129.0</v>
      </c>
      <c r="B297" s="9" t="s">
        <v>308</v>
      </c>
      <c r="C297" s="10" t="s">
        <v>313</v>
      </c>
      <c r="D297" s="8" t="s">
        <v>5</v>
      </c>
      <c r="E297" s="11">
        <v>1322923.64</v>
      </c>
    </row>
    <row r="298" ht="15.0" customHeight="1">
      <c r="A298" s="4">
        <v>1759.0</v>
      </c>
      <c r="B298" s="5" t="s">
        <v>308</v>
      </c>
      <c r="C298" s="6" t="s">
        <v>314</v>
      </c>
      <c r="D298" s="4" t="s">
        <v>5</v>
      </c>
      <c r="E298" s="7">
        <v>1019700.0</v>
      </c>
    </row>
    <row r="299" ht="15.0" customHeight="1">
      <c r="A299" s="8">
        <v>1760.0</v>
      </c>
      <c r="B299" s="9" t="s">
        <v>308</v>
      </c>
      <c r="C299" s="10" t="s">
        <v>315</v>
      </c>
      <c r="D299" s="8" t="s">
        <v>5</v>
      </c>
      <c r="E299" s="11">
        <v>509850.0</v>
      </c>
    </row>
    <row r="300" ht="15.0" customHeight="1">
      <c r="A300" s="4">
        <v>114.0</v>
      </c>
      <c r="B300" s="5" t="s">
        <v>308</v>
      </c>
      <c r="C300" s="6" t="s">
        <v>316</v>
      </c>
      <c r="D300" s="4" t="s">
        <v>5</v>
      </c>
      <c r="E300" s="7">
        <v>293983.08</v>
      </c>
    </row>
    <row r="301" ht="15.0" customHeight="1">
      <c r="A301" s="8">
        <v>1694.0</v>
      </c>
      <c r="B301" s="9" t="s">
        <v>308</v>
      </c>
      <c r="C301" s="10" t="s">
        <v>317</v>
      </c>
      <c r="D301" s="8" t="s">
        <v>5</v>
      </c>
      <c r="E301" s="11">
        <v>1035149.49</v>
      </c>
    </row>
    <row r="302" ht="15.0" customHeight="1">
      <c r="A302" s="4">
        <v>1695.0</v>
      </c>
      <c r="B302" s="5" t="s">
        <v>308</v>
      </c>
      <c r="C302" s="6" t="s">
        <v>318</v>
      </c>
      <c r="D302" s="4" t="s">
        <v>5</v>
      </c>
      <c r="E302" s="7">
        <v>477404.76</v>
      </c>
    </row>
    <row r="303" ht="15.0" customHeight="1">
      <c r="A303" s="8">
        <v>1693.0</v>
      </c>
      <c r="B303" s="9" t="s">
        <v>308</v>
      </c>
      <c r="C303" s="10" t="s">
        <v>319</v>
      </c>
      <c r="D303" s="8" t="s">
        <v>5</v>
      </c>
      <c r="E303" s="11">
        <v>1297799.34</v>
      </c>
    </row>
    <row r="304" ht="15.0" customHeight="1">
      <c r="A304" s="4">
        <v>1692.0</v>
      </c>
      <c r="B304" s="5" t="s">
        <v>308</v>
      </c>
      <c r="C304" s="6" t="s">
        <v>320</v>
      </c>
      <c r="D304" s="4" t="s">
        <v>5</v>
      </c>
      <c r="E304" s="7">
        <v>834299.6</v>
      </c>
    </row>
    <row r="305" ht="15.0" customHeight="1">
      <c r="A305" s="8">
        <v>1755.0</v>
      </c>
      <c r="B305" s="9" t="s">
        <v>308</v>
      </c>
      <c r="C305" s="10" t="s">
        <v>321</v>
      </c>
      <c r="D305" s="8" t="s">
        <v>5</v>
      </c>
      <c r="E305" s="11">
        <v>509850.0</v>
      </c>
    </row>
    <row r="306" ht="15.0" customHeight="1">
      <c r="A306" s="4">
        <v>1758.0</v>
      </c>
      <c r="B306" s="5" t="s">
        <v>308</v>
      </c>
      <c r="C306" s="6" t="s">
        <v>322</v>
      </c>
      <c r="D306" s="4" t="s">
        <v>5</v>
      </c>
      <c r="E306" s="7">
        <v>283250.0</v>
      </c>
    </row>
    <row r="307" ht="15.0" customHeight="1">
      <c r="A307" s="8">
        <v>1711.0</v>
      </c>
      <c r="B307" s="9" t="s">
        <v>308</v>
      </c>
      <c r="C307" s="10" t="s">
        <v>323</v>
      </c>
      <c r="D307" s="8" t="s">
        <v>5</v>
      </c>
      <c r="E307" s="11">
        <v>401699.8</v>
      </c>
    </row>
    <row r="308" ht="15.0" customHeight="1">
      <c r="A308" s="4">
        <v>1710.0</v>
      </c>
      <c r="B308" s="5" t="s">
        <v>308</v>
      </c>
      <c r="C308" s="6" t="s">
        <v>324</v>
      </c>
      <c r="D308" s="4" t="s">
        <v>5</v>
      </c>
      <c r="E308" s="7">
        <v>247199.88</v>
      </c>
    </row>
    <row r="309" ht="15.0" customHeight="1">
      <c r="A309" s="8">
        <v>1756.0</v>
      </c>
      <c r="B309" s="9" t="s">
        <v>308</v>
      </c>
      <c r="C309" s="10" t="s">
        <v>325</v>
      </c>
      <c r="D309" s="8" t="s">
        <v>5</v>
      </c>
      <c r="E309" s="11">
        <v>566500.0</v>
      </c>
    </row>
    <row r="310" ht="15.0" customHeight="1">
      <c r="A310" s="4">
        <v>1757.0</v>
      </c>
      <c r="B310" s="5" t="s">
        <v>308</v>
      </c>
      <c r="C310" s="6" t="s">
        <v>326</v>
      </c>
      <c r="D310" s="4" t="s">
        <v>5</v>
      </c>
      <c r="E310" s="7">
        <v>317240.0</v>
      </c>
    </row>
    <row r="311" ht="15.0" customHeight="1">
      <c r="A311" s="8">
        <v>1700.0</v>
      </c>
      <c r="B311" s="9" t="s">
        <v>308</v>
      </c>
      <c r="C311" s="10" t="s">
        <v>327</v>
      </c>
      <c r="D311" s="8" t="s">
        <v>5</v>
      </c>
      <c r="E311" s="11">
        <v>332174.82</v>
      </c>
    </row>
    <row r="312" ht="15.0" customHeight="1">
      <c r="A312" s="4">
        <v>1701.0</v>
      </c>
      <c r="B312" s="5" t="s">
        <v>308</v>
      </c>
      <c r="C312" s="6" t="s">
        <v>328</v>
      </c>
      <c r="D312" s="4" t="s">
        <v>5</v>
      </c>
      <c r="E312" s="7">
        <v>210119.9</v>
      </c>
    </row>
    <row r="313" ht="15.0" customHeight="1">
      <c r="A313" s="8">
        <v>1702.0</v>
      </c>
      <c r="B313" s="9" t="s">
        <v>308</v>
      </c>
      <c r="C313" s="10" t="s">
        <v>329</v>
      </c>
      <c r="D313" s="8" t="s">
        <v>5</v>
      </c>
      <c r="E313" s="11">
        <v>494399.75</v>
      </c>
    </row>
    <row r="314" ht="15.0" customHeight="1">
      <c r="A314" s="4">
        <v>1703.0</v>
      </c>
      <c r="B314" s="5" t="s">
        <v>308</v>
      </c>
      <c r="C314" s="6" t="s">
        <v>330</v>
      </c>
      <c r="D314" s="4" t="s">
        <v>5</v>
      </c>
      <c r="E314" s="7">
        <v>301274.85</v>
      </c>
    </row>
    <row r="315" ht="15.0" customHeight="1">
      <c r="A315" s="8">
        <v>1698.0</v>
      </c>
      <c r="B315" s="9" t="s">
        <v>308</v>
      </c>
      <c r="C315" s="10" t="s">
        <v>331</v>
      </c>
      <c r="D315" s="8" t="s">
        <v>5</v>
      </c>
      <c r="E315" s="11">
        <v>563924.69</v>
      </c>
    </row>
    <row r="316" ht="15.0" customHeight="1">
      <c r="A316" s="4">
        <v>1699.0</v>
      </c>
      <c r="B316" s="5" t="s">
        <v>308</v>
      </c>
      <c r="C316" s="6" t="s">
        <v>332</v>
      </c>
      <c r="D316" s="4" t="s">
        <v>5</v>
      </c>
      <c r="E316" s="7">
        <v>332174.82</v>
      </c>
    </row>
    <row r="317" ht="15.0" customHeight="1">
      <c r="A317" s="8">
        <v>1708.0</v>
      </c>
      <c r="B317" s="9" t="s">
        <v>308</v>
      </c>
      <c r="C317" s="10" t="s">
        <v>333</v>
      </c>
      <c r="D317" s="8" t="s">
        <v>5</v>
      </c>
      <c r="E317" s="11">
        <v>424874.79</v>
      </c>
    </row>
    <row r="318" ht="15.0" customHeight="1">
      <c r="A318" s="4">
        <v>1709.0</v>
      </c>
      <c r="B318" s="5" t="s">
        <v>308</v>
      </c>
      <c r="C318" s="6" t="s">
        <v>334</v>
      </c>
      <c r="D318" s="4" t="s">
        <v>5</v>
      </c>
      <c r="E318" s="7">
        <v>254924.87</v>
      </c>
    </row>
    <row r="319" ht="15.0" customHeight="1">
      <c r="A319" s="8">
        <v>1696.0</v>
      </c>
      <c r="B319" s="9" t="s">
        <v>308</v>
      </c>
      <c r="C319" s="10" t="s">
        <v>335</v>
      </c>
      <c r="D319" s="8" t="s">
        <v>5</v>
      </c>
      <c r="E319" s="11">
        <v>718424.62</v>
      </c>
    </row>
    <row r="320" ht="15.0" customHeight="1">
      <c r="A320" s="4">
        <v>1697.0</v>
      </c>
      <c r="B320" s="5" t="s">
        <v>308</v>
      </c>
      <c r="C320" s="6" t="s">
        <v>336</v>
      </c>
      <c r="D320" s="4" t="s">
        <v>5</v>
      </c>
      <c r="E320" s="7">
        <v>440324.78</v>
      </c>
    </row>
    <row r="321" ht="15.0" customHeight="1">
      <c r="A321" s="8">
        <v>1706.0</v>
      </c>
      <c r="B321" s="9" t="s">
        <v>308</v>
      </c>
      <c r="C321" s="10" t="s">
        <v>337</v>
      </c>
      <c r="D321" s="8" t="s">
        <v>5</v>
      </c>
      <c r="E321" s="11">
        <v>540749.71</v>
      </c>
    </row>
    <row r="322" ht="15.0" customHeight="1">
      <c r="A322" s="4">
        <v>1707.0</v>
      </c>
      <c r="B322" s="5" t="s">
        <v>308</v>
      </c>
      <c r="C322" s="6" t="s">
        <v>338</v>
      </c>
      <c r="D322" s="4" t="s">
        <v>5</v>
      </c>
      <c r="E322" s="7">
        <v>332174.82</v>
      </c>
    </row>
    <row r="323" ht="15.0" customHeight="1">
      <c r="A323" s="8">
        <v>1754.0</v>
      </c>
      <c r="B323" s="9" t="s">
        <v>308</v>
      </c>
      <c r="C323" s="10" t="s">
        <v>339</v>
      </c>
      <c r="D323" s="8" t="s">
        <v>5</v>
      </c>
      <c r="E323" s="11">
        <v>396550.0</v>
      </c>
    </row>
    <row r="324" ht="15.0" customHeight="1">
      <c r="A324" s="4">
        <v>1704.0</v>
      </c>
      <c r="B324" s="5" t="s">
        <v>308</v>
      </c>
      <c r="C324" s="6" t="s">
        <v>340</v>
      </c>
      <c r="D324" s="4" t="s">
        <v>5</v>
      </c>
      <c r="E324" s="7">
        <v>775589.59</v>
      </c>
    </row>
    <row r="325" ht="15.0" customHeight="1">
      <c r="A325" s="8">
        <v>1705.0</v>
      </c>
      <c r="B325" s="9" t="s">
        <v>308</v>
      </c>
      <c r="C325" s="10" t="s">
        <v>341</v>
      </c>
      <c r="D325" s="8" t="s">
        <v>5</v>
      </c>
      <c r="E325" s="11">
        <v>625724.7</v>
      </c>
    </row>
    <row r="326" ht="15.0" customHeight="1">
      <c r="A326" s="4">
        <v>1474.0</v>
      </c>
      <c r="B326" s="5" t="s">
        <v>342</v>
      </c>
      <c r="C326" s="6" t="s">
        <v>343</v>
      </c>
      <c r="D326" s="4" t="s">
        <v>5</v>
      </c>
      <c r="E326" s="7">
        <v>390074.07</v>
      </c>
    </row>
    <row r="327" ht="15.0" customHeight="1">
      <c r="A327" s="8">
        <v>1468.0</v>
      </c>
      <c r="B327" s="9" t="s">
        <v>342</v>
      </c>
      <c r="C327" s="10" t="s">
        <v>344</v>
      </c>
      <c r="D327" s="8" t="s">
        <v>76</v>
      </c>
      <c r="E327" s="11">
        <v>788902.93</v>
      </c>
    </row>
    <row r="328" ht="15.0" customHeight="1">
      <c r="A328" s="4">
        <v>70.0</v>
      </c>
      <c r="B328" s="5" t="s">
        <v>342</v>
      </c>
      <c r="C328" s="6" t="s">
        <v>345</v>
      </c>
      <c r="D328" s="4" t="s">
        <v>22</v>
      </c>
      <c r="E328" s="7">
        <v>220929.47</v>
      </c>
    </row>
    <row r="329" ht="15.0" customHeight="1">
      <c r="A329" s="8">
        <v>1475.0</v>
      </c>
      <c r="B329" s="9" t="s">
        <v>342</v>
      </c>
      <c r="C329" s="10" t="s">
        <v>346</v>
      </c>
      <c r="D329" s="8" t="s">
        <v>22</v>
      </c>
      <c r="E329" s="11">
        <v>0.0</v>
      </c>
    </row>
    <row r="330" ht="15.0" customHeight="1">
      <c r="A330" s="4">
        <v>87.0</v>
      </c>
      <c r="B330" s="5" t="s">
        <v>342</v>
      </c>
      <c r="C330" s="6" t="s">
        <v>347</v>
      </c>
      <c r="D330" s="4" t="s">
        <v>5</v>
      </c>
      <c r="E330" s="7">
        <v>2252613.86</v>
      </c>
    </row>
    <row r="331" ht="15.0" customHeight="1">
      <c r="A331" s="8">
        <v>1470.0</v>
      </c>
      <c r="B331" s="9" t="s">
        <v>342</v>
      </c>
      <c r="C331" s="10" t="s">
        <v>348</v>
      </c>
      <c r="D331" s="8" t="s">
        <v>5</v>
      </c>
      <c r="E331" s="11">
        <v>2824710.71</v>
      </c>
    </row>
    <row r="332" ht="15.0" customHeight="1">
      <c r="A332" s="4">
        <v>1471.0</v>
      </c>
      <c r="B332" s="5" t="s">
        <v>342</v>
      </c>
      <c r="C332" s="6" t="s">
        <v>349</v>
      </c>
      <c r="D332" s="4" t="s">
        <v>5</v>
      </c>
      <c r="E332" s="7">
        <v>1884601.41</v>
      </c>
    </row>
    <row r="333" ht="15.0" customHeight="1">
      <c r="A333" s="8">
        <v>93.0</v>
      </c>
      <c r="B333" s="9" t="s">
        <v>342</v>
      </c>
      <c r="C333" s="10" t="s">
        <v>350</v>
      </c>
      <c r="D333" s="8" t="s">
        <v>5</v>
      </c>
      <c r="E333" s="11">
        <v>3465559.83</v>
      </c>
    </row>
    <row r="334" ht="15.0" customHeight="1">
      <c r="A334" s="4">
        <v>88.0</v>
      </c>
      <c r="B334" s="5" t="s">
        <v>342</v>
      </c>
      <c r="C334" s="6" t="s">
        <v>351</v>
      </c>
      <c r="D334" s="4" t="s">
        <v>5</v>
      </c>
      <c r="E334" s="7">
        <v>4331949.72</v>
      </c>
    </row>
    <row r="335" ht="15.0" customHeight="1">
      <c r="A335" s="8">
        <v>85.0</v>
      </c>
      <c r="B335" s="9" t="s">
        <v>342</v>
      </c>
      <c r="C335" s="10" t="s">
        <v>352</v>
      </c>
      <c r="D335" s="8" t="s">
        <v>5</v>
      </c>
      <c r="E335" s="11">
        <v>1934937.6</v>
      </c>
    </row>
    <row r="336" ht="15.0" customHeight="1">
      <c r="A336" s="4">
        <v>86.0</v>
      </c>
      <c r="B336" s="5" t="s">
        <v>342</v>
      </c>
      <c r="C336" s="6" t="s">
        <v>353</v>
      </c>
      <c r="D336" s="4" t="s">
        <v>5</v>
      </c>
      <c r="E336" s="7">
        <v>2137095.2</v>
      </c>
    </row>
    <row r="337" ht="15.0" customHeight="1">
      <c r="A337" s="8">
        <v>81.0</v>
      </c>
      <c r="B337" s="9" t="s">
        <v>342</v>
      </c>
      <c r="C337" s="10" t="s">
        <v>354</v>
      </c>
      <c r="D337" s="8" t="s">
        <v>5</v>
      </c>
      <c r="E337" s="11">
        <v>987684.6</v>
      </c>
    </row>
    <row r="338" ht="15.0" customHeight="1">
      <c r="A338" s="4">
        <v>82.0</v>
      </c>
      <c r="B338" s="5" t="s">
        <v>342</v>
      </c>
      <c r="C338" s="6" t="s">
        <v>355</v>
      </c>
      <c r="D338" s="4" t="s">
        <v>5</v>
      </c>
      <c r="E338" s="7">
        <v>635352.64</v>
      </c>
    </row>
    <row r="339" ht="15.0" customHeight="1">
      <c r="A339" s="8">
        <v>1472.0</v>
      </c>
      <c r="B339" s="9" t="s">
        <v>342</v>
      </c>
      <c r="C339" s="10" t="s">
        <v>356</v>
      </c>
      <c r="D339" s="8" t="s">
        <v>5</v>
      </c>
      <c r="E339" s="11">
        <v>701247.04</v>
      </c>
    </row>
    <row r="340" ht="15.0" customHeight="1">
      <c r="A340" s="4">
        <v>1473.0</v>
      </c>
      <c r="B340" s="5" t="s">
        <v>342</v>
      </c>
      <c r="C340" s="6" t="s">
        <v>357</v>
      </c>
      <c r="D340" s="4" t="s">
        <v>5</v>
      </c>
      <c r="E340" s="7">
        <v>1271010.24</v>
      </c>
    </row>
    <row r="341" ht="15.0" customHeight="1">
      <c r="A341" s="8">
        <v>1476.0</v>
      </c>
      <c r="B341" s="9" t="s">
        <v>342</v>
      </c>
      <c r="C341" s="10" t="s">
        <v>358</v>
      </c>
      <c r="D341" s="8" t="s">
        <v>5</v>
      </c>
      <c r="E341" s="11">
        <v>382272.59</v>
      </c>
    </row>
    <row r="342" ht="15.0" customHeight="1">
      <c r="A342" s="4">
        <v>80.0</v>
      </c>
      <c r="B342" s="5" t="s">
        <v>342</v>
      </c>
      <c r="C342" s="6" t="s">
        <v>359</v>
      </c>
      <c r="D342" s="4" t="s">
        <v>5</v>
      </c>
      <c r="E342" s="7">
        <v>693111.95</v>
      </c>
    </row>
    <row r="343" ht="15.0" customHeight="1">
      <c r="A343" s="8">
        <v>83.0</v>
      </c>
      <c r="B343" s="9" t="s">
        <v>342</v>
      </c>
      <c r="C343" s="10" t="s">
        <v>360</v>
      </c>
      <c r="D343" s="8" t="s">
        <v>5</v>
      </c>
      <c r="E343" s="11">
        <v>202157.65</v>
      </c>
    </row>
    <row r="344" ht="15.0" customHeight="1">
      <c r="A344" s="4">
        <v>84.0</v>
      </c>
      <c r="B344" s="5" t="s">
        <v>342</v>
      </c>
      <c r="C344" s="6" t="s">
        <v>361</v>
      </c>
      <c r="D344" s="4" t="s">
        <v>5</v>
      </c>
      <c r="E344" s="7">
        <v>245477.18</v>
      </c>
    </row>
    <row r="345" ht="15.0" customHeight="1">
      <c r="A345" s="8">
        <v>608.0</v>
      </c>
      <c r="B345" s="9" t="s">
        <v>362</v>
      </c>
      <c r="C345" s="10" t="s">
        <v>363</v>
      </c>
      <c r="D345" s="8" t="s">
        <v>5</v>
      </c>
      <c r="E345" s="11">
        <v>7145.78</v>
      </c>
    </row>
    <row r="346" ht="15.0" customHeight="1">
      <c r="A346" s="4">
        <v>181.0</v>
      </c>
      <c r="B346" s="5" t="s">
        <v>362</v>
      </c>
      <c r="C346" s="6" t="s">
        <v>364</v>
      </c>
      <c r="D346" s="4" t="s">
        <v>5</v>
      </c>
      <c r="E346" s="7">
        <v>2538.65</v>
      </c>
    </row>
    <row r="347" ht="15.0" customHeight="1">
      <c r="A347" s="8">
        <v>180.0</v>
      </c>
      <c r="B347" s="9" t="s">
        <v>362</v>
      </c>
      <c r="C347" s="10" t="s">
        <v>365</v>
      </c>
      <c r="D347" s="8" t="s">
        <v>76</v>
      </c>
      <c r="E347" s="11">
        <v>26702.67</v>
      </c>
    </row>
    <row r="348" ht="15.0" customHeight="1">
      <c r="A348" s="4">
        <v>187.0</v>
      </c>
      <c r="B348" s="5" t="s">
        <v>362</v>
      </c>
      <c r="C348" s="6" t="s">
        <v>366</v>
      </c>
      <c r="D348" s="4" t="s">
        <v>76</v>
      </c>
      <c r="E348" s="7">
        <v>39489.85</v>
      </c>
    </row>
    <row r="349" ht="15.0" customHeight="1">
      <c r="A349" s="8">
        <v>172.0</v>
      </c>
      <c r="B349" s="9" t="s">
        <v>362</v>
      </c>
      <c r="C349" s="10" t="s">
        <v>367</v>
      </c>
      <c r="D349" s="8" t="s">
        <v>5</v>
      </c>
      <c r="E349" s="11">
        <v>63935.89</v>
      </c>
    </row>
    <row r="350" ht="15.0" customHeight="1">
      <c r="A350" s="4">
        <v>173.0</v>
      </c>
      <c r="B350" s="5" t="s">
        <v>362</v>
      </c>
      <c r="C350" s="6" t="s">
        <v>368</v>
      </c>
      <c r="D350" s="4" t="s">
        <v>5</v>
      </c>
      <c r="E350" s="7">
        <v>60363.01</v>
      </c>
    </row>
    <row r="351" ht="15.0" customHeight="1">
      <c r="A351" s="8">
        <v>721.0</v>
      </c>
      <c r="B351" s="9" t="s">
        <v>362</v>
      </c>
      <c r="C351" s="10" t="s">
        <v>369</v>
      </c>
      <c r="D351" s="8" t="s">
        <v>22</v>
      </c>
      <c r="E351" s="11">
        <v>49644.35</v>
      </c>
    </row>
    <row r="352" ht="15.0" customHeight="1">
      <c r="A352" s="4">
        <v>722.0</v>
      </c>
      <c r="B352" s="5" t="s">
        <v>362</v>
      </c>
      <c r="C352" s="6" t="s">
        <v>370</v>
      </c>
      <c r="D352" s="4" t="s">
        <v>22</v>
      </c>
      <c r="E352" s="7">
        <v>37233.29</v>
      </c>
    </row>
    <row r="353" ht="15.0" customHeight="1">
      <c r="A353" s="8">
        <v>176.0</v>
      </c>
      <c r="B353" s="9" t="s">
        <v>362</v>
      </c>
      <c r="C353" s="10" t="s">
        <v>371</v>
      </c>
      <c r="D353" s="8" t="s">
        <v>22</v>
      </c>
      <c r="E353" s="11">
        <v>40618.07</v>
      </c>
    </row>
    <row r="354" ht="15.0" customHeight="1">
      <c r="A354" s="4">
        <v>720.0</v>
      </c>
      <c r="B354" s="5" t="s">
        <v>362</v>
      </c>
      <c r="C354" s="6" t="s">
        <v>372</v>
      </c>
      <c r="D354" s="4" t="s">
        <v>22</v>
      </c>
      <c r="E354" s="7">
        <v>34976.74</v>
      </c>
    </row>
    <row r="355" ht="15.0" customHeight="1">
      <c r="A355" s="8">
        <v>189.0</v>
      </c>
      <c r="B355" s="9" t="s">
        <v>362</v>
      </c>
      <c r="C355" s="10" t="s">
        <v>373</v>
      </c>
      <c r="D355" s="8" t="s">
        <v>5</v>
      </c>
      <c r="E355" s="11">
        <v>34106.55</v>
      </c>
    </row>
    <row r="356" ht="15.0" customHeight="1">
      <c r="A356" s="4">
        <v>191.0</v>
      </c>
      <c r="B356" s="5" t="s">
        <v>362</v>
      </c>
      <c r="C356" s="6" t="s">
        <v>374</v>
      </c>
      <c r="D356" s="4" t="s">
        <v>5</v>
      </c>
      <c r="E356" s="7">
        <v>40190.4</v>
      </c>
    </row>
    <row r="357" ht="15.0" customHeight="1">
      <c r="A357" s="8">
        <v>192.0</v>
      </c>
      <c r="B357" s="9" t="s">
        <v>362</v>
      </c>
      <c r="C357" s="10" t="s">
        <v>375</v>
      </c>
      <c r="D357" s="8" t="s">
        <v>5</v>
      </c>
      <c r="E357" s="11">
        <v>46089.94</v>
      </c>
    </row>
    <row r="358" ht="15.0" customHeight="1">
      <c r="A358" s="4">
        <v>194.0</v>
      </c>
      <c r="B358" s="5" t="s">
        <v>362</v>
      </c>
      <c r="C358" s="6" t="s">
        <v>376</v>
      </c>
      <c r="D358" s="4" t="s">
        <v>5</v>
      </c>
      <c r="E358" s="7">
        <v>58073.31</v>
      </c>
    </row>
    <row r="359" ht="15.0" customHeight="1">
      <c r="A359" s="8">
        <v>195.0</v>
      </c>
      <c r="B359" s="9" t="s">
        <v>362</v>
      </c>
      <c r="C359" s="10" t="s">
        <v>377</v>
      </c>
      <c r="D359" s="8" t="s">
        <v>5</v>
      </c>
      <c r="E359" s="11">
        <v>86095.93</v>
      </c>
    </row>
    <row r="360" ht="15.0" customHeight="1">
      <c r="A360" s="4">
        <v>197.0</v>
      </c>
      <c r="B360" s="5" t="s">
        <v>362</v>
      </c>
      <c r="C360" s="6" t="s">
        <v>378</v>
      </c>
      <c r="D360" s="4" t="s">
        <v>5</v>
      </c>
      <c r="E360" s="7">
        <v>114302.94</v>
      </c>
    </row>
    <row r="361" ht="15.0" customHeight="1">
      <c r="A361" s="8">
        <v>198.0</v>
      </c>
      <c r="B361" s="9" t="s">
        <v>362</v>
      </c>
      <c r="C361" s="10" t="s">
        <v>379</v>
      </c>
      <c r="D361" s="8" t="s">
        <v>22</v>
      </c>
      <c r="E361" s="11">
        <v>125180.18</v>
      </c>
    </row>
    <row r="362" ht="15.0" customHeight="1">
      <c r="A362" s="4">
        <v>200.0</v>
      </c>
      <c r="B362" s="5" t="s">
        <v>362</v>
      </c>
      <c r="C362" s="6" t="s">
        <v>380</v>
      </c>
      <c r="D362" s="4" t="s">
        <v>22</v>
      </c>
      <c r="E362" s="7">
        <v>133107.63</v>
      </c>
    </row>
    <row r="363" ht="15.0" customHeight="1">
      <c r="A363" s="8">
        <v>202.0</v>
      </c>
      <c r="B363" s="9" t="s">
        <v>362</v>
      </c>
      <c r="C363" s="10" t="s">
        <v>381</v>
      </c>
      <c r="D363" s="8" t="s">
        <v>22</v>
      </c>
      <c r="E363" s="11">
        <v>145644.09</v>
      </c>
    </row>
    <row r="364" ht="15.0" customHeight="1">
      <c r="A364" s="4">
        <v>205.0</v>
      </c>
      <c r="B364" s="5" t="s">
        <v>362</v>
      </c>
      <c r="C364" s="6" t="s">
        <v>382</v>
      </c>
      <c r="D364" s="4" t="s">
        <v>22</v>
      </c>
      <c r="E364" s="7">
        <v>158180.54</v>
      </c>
    </row>
    <row r="365" ht="15.0" customHeight="1">
      <c r="A365" s="8">
        <v>206.0</v>
      </c>
      <c r="B365" s="9" t="s">
        <v>362</v>
      </c>
      <c r="C365" s="10" t="s">
        <v>383</v>
      </c>
      <c r="D365" s="8" t="s">
        <v>22</v>
      </c>
      <c r="E365" s="11">
        <v>170716.99</v>
      </c>
    </row>
    <row r="366" ht="15.0" customHeight="1">
      <c r="A366" s="4">
        <v>208.0</v>
      </c>
      <c r="B366" s="5" t="s">
        <v>362</v>
      </c>
      <c r="C366" s="6" t="s">
        <v>384</v>
      </c>
      <c r="D366" s="4" t="s">
        <v>22</v>
      </c>
      <c r="E366" s="7">
        <v>188784.26</v>
      </c>
    </row>
    <row r="367" ht="15.0" customHeight="1">
      <c r="A367" s="8">
        <v>1452.0</v>
      </c>
      <c r="B367" s="9" t="s">
        <v>362</v>
      </c>
      <c r="C367" s="10" t="s">
        <v>385</v>
      </c>
      <c r="D367" s="8" t="s">
        <v>22</v>
      </c>
      <c r="E367" s="11">
        <v>489411.47</v>
      </c>
    </row>
    <row r="368" ht="15.0" customHeight="1">
      <c r="A368" s="4">
        <v>168.0</v>
      </c>
      <c r="B368" s="5" t="s">
        <v>362</v>
      </c>
      <c r="C368" s="6" t="s">
        <v>386</v>
      </c>
      <c r="D368" s="4" t="s">
        <v>5</v>
      </c>
      <c r="E368" s="7">
        <v>2304.52</v>
      </c>
    </row>
    <row r="369" ht="15.0" customHeight="1">
      <c r="A369" s="8">
        <v>725.0</v>
      </c>
      <c r="B369" s="9" t="s">
        <v>362</v>
      </c>
      <c r="C369" s="10" t="s">
        <v>387</v>
      </c>
      <c r="D369" s="8" t="s">
        <v>5</v>
      </c>
      <c r="E369" s="11">
        <v>4055.91</v>
      </c>
    </row>
    <row r="370" ht="15.0" customHeight="1">
      <c r="A370" s="4">
        <v>726.0</v>
      </c>
      <c r="B370" s="5" t="s">
        <v>362</v>
      </c>
      <c r="C370" s="6" t="s">
        <v>388</v>
      </c>
      <c r="D370" s="4" t="s">
        <v>5</v>
      </c>
      <c r="E370" s="7">
        <v>4793.33</v>
      </c>
    </row>
    <row r="371" ht="15.0" customHeight="1">
      <c r="A371" s="8">
        <v>727.0</v>
      </c>
      <c r="B371" s="9" t="s">
        <v>362</v>
      </c>
      <c r="C371" s="10" t="s">
        <v>389</v>
      </c>
      <c r="D371" s="8" t="s">
        <v>5</v>
      </c>
      <c r="E371" s="11">
        <v>5715.16</v>
      </c>
    </row>
    <row r="372" ht="15.0" customHeight="1">
      <c r="A372" s="4">
        <v>169.0</v>
      </c>
      <c r="B372" s="5" t="s">
        <v>362</v>
      </c>
      <c r="C372" s="6" t="s">
        <v>390</v>
      </c>
      <c r="D372" s="4" t="s">
        <v>5</v>
      </c>
      <c r="E372" s="7">
        <v>4608.97</v>
      </c>
    </row>
    <row r="373" ht="15.0" customHeight="1">
      <c r="A373" s="8">
        <v>723.0</v>
      </c>
      <c r="B373" s="9" t="s">
        <v>362</v>
      </c>
      <c r="C373" s="10" t="s">
        <v>391</v>
      </c>
      <c r="D373" s="8" t="s">
        <v>5</v>
      </c>
      <c r="E373" s="11">
        <v>5530.8</v>
      </c>
    </row>
    <row r="374" ht="15.0" customHeight="1">
      <c r="A374" s="4">
        <v>724.0</v>
      </c>
      <c r="B374" s="5" t="s">
        <v>362</v>
      </c>
      <c r="C374" s="6" t="s">
        <v>392</v>
      </c>
      <c r="D374" s="4" t="s">
        <v>5</v>
      </c>
      <c r="E374" s="7">
        <v>6452.56</v>
      </c>
    </row>
    <row r="375" ht="15.0" customHeight="1">
      <c r="A375" s="8">
        <v>166.0</v>
      </c>
      <c r="B375" s="9" t="s">
        <v>362</v>
      </c>
      <c r="C375" s="10" t="s">
        <v>393</v>
      </c>
      <c r="D375" s="8" t="s">
        <v>5</v>
      </c>
      <c r="E375" s="11">
        <v>7743.11</v>
      </c>
    </row>
    <row r="376" ht="15.0" customHeight="1">
      <c r="A376" s="4">
        <v>167.0</v>
      </c>
      <c r="B376" s="5" t="s">
        <v>362</v>
      </c>
      <c r="C376" s="6" t="s">
        <v>394</v>
      </c>
      <c r="D376" s="4" t="s">
        <v>5</v>
      </c>
      <c r="E376" s="7">
        <v>22123.16</v>
      </c>
    </row>
    <row r="377" ht="15.0" customHeight="1">
      <c r="A377" s="8">
        <v>163.0</v>
      </c>
      <c r="B377" s="9" t="s">
        <v>362</v>
      </c>
      <c r="C377" s="10" t="s">
        <v>395</v>
      </c>
      <c r="D377" s="8" t="s">
        <v>76</v>
      </c>
      <c r="E377" s="11">
        <v>8296.18</v>
      </c>
    </row>
    <row r="378" ht="15.0" customHeight="1">
      <c r="A378" s="4">
        <v>164.0</v>
      </c>
      <c r="B378" s="5" t="s">
        <v>362</v>
      </c>
      <c r="C378" s="6" t="s">
        <v>396</v>
      </c>
      <c r="D378" s="4" t="s">
        <v>5</v>
      </c>
      <c r="E378" s="7">
        <v>24888.55</v>
      </c>
    </row>
    <row r="379" ht="15.0" customHeight="1">
      <c r="A379" s="8">
        <v>165.0</v>
      </c>
      <c r="B379" s="9" t="s">
        <v>362</v>
      </c>
      <c r="C379" s="10" t="s">
        <v>397</v>
      </c>
      <c r="D379" s="8" t="s">
        <v>5</v>
      </c>
      <c r="E379" s="11">
        <v>34106.55</v>
      </c>
    </row>
    <row r="380" ht="15.0" customHeight="1">
      <c r="A380" s="4">
        <v>1398.0</v>
      </c>
      <c r="B380" s="5" t="s">
        <v>362</v>
      </c>
      <c r="C380" s="6" t="s">
        <v>398</v>
      </c>
      <c r="D380" s="4" t="s">
        <v>22</v>
      </c>
      <c r="E380" s="7">
        <v>0.0</v>
      </c>
    </row>
    <row r="381" ht="15.0" customHeight="1">
      <c r="A381" s="8">
        <v>889.0</v>
      </c>
      <c r="B381" s="9" t="s">
        <v>399</v>
      </c>
      <c r="C381" s="10" t="s">
        <v>400</v>
      </c>
      <c r="D381" s="8" t="s">
        <v>19</v>
      </c>
      <c r="E381" s="11">
        <v>2043.52</v>
      </c>
    </row>
    <row r="382" ht="15.0" customHeight="1">
      <c r="A382" s="4">
        <v>874.0</v>
      </c>
      <c r="B382" s="5" t="s">
        <v>399</v>
      </c>
      <c r="C382" s="6" t="s">
        <v>401</v>
      </c>
      <c r="D382" s="4" t="s">
        <v>5</v>
      </c>
      <c r="E382" s="7">
        <v>15605.08</v>
      </c>
    </row>
    <row r="383" ht="15.0" customHeight="1">
      <c r="A383" s="8">
        <v>870.0</v>
      </c>
      <c r="B383" s="9" t="s">
        <v>399</v>
      </c>
      <c r="C383" s="10" t="s">
        <v>402</v>
      </c>
      <c r="D383" s="8" t="s">
        <v>5</v>
      </c>
      <c r="E383" s="11">
        <v>14926.61</v>
      </c>
    </row>
    <row r="384" ht="15.0" customHeight="1">
      <c r="A384" s="4">
        <v>1665.0</v>
      </c>
      <c r="B384" s="5" t="s">
        <v>399</v>
      </c>
      <c r="C384" s="6" t="s">
        <v>403</v>
      </c>
      <c r="D384" s="4" t="s">
        <v>5</v>
      </c>
      <c r="E384" s="7">
        <v>4577.07</v>
      </c>
    </row>
    <row r="385" ht="15.0" customHeight="1">
      <c r="A385" s="8">
        <v>883.0</v>
      </c>
      <c r="B385" s="9" t="s">
        <v>399</v>
      </c>
      <c r="C385" s="10" t="s">
        <v>404</v>
      </c>
      <c r="D385" s="8" t="s">
        <v>5</v>
      </c>
      <c r="E385" s="11">
        <v>661.51</v>
      </c>
    </row>
    <row r="386" ht="15.0" customHeight="1">
      <c r="A386" s="4">
        <v>291.0</v>
      </c>
      <c r="B386" s="5" t="s">
        <v>399</v>
      </c>
      <c r="C386" s="6" t="s">
        <v>405</v>
      </c>
      <c r="D386" s="4" t="s">
        <v>5</v>
      </c>
      <c r="E386" s="7">
        <v>3460.29</v>
      </c>
    </row>
    <row r="387" ht="15.0" customHeight="1">
      <c r="A387" s="8">
        <v>630.0</v>
      </c>
      <c r="B387" s="9" t="s">
        <v>399</v>
      </c>
      <c r="C387" s="10" t="s">
        <v>406</v>
      </c>
      <c r="D387" s="8" t="s">
        <v>76</v>
      </c>
      <c r="E387" s="11">
        <v>254.43</v>
      </c>
    </row>
    <row r="388" ht="15.0" customHeight="1">
      <c r="A388" s="4">
        <v>873.0</v>
      </c>
      <c r="B388" s="5" t="s">
        <v>399</v>
      </c>
      <c r="C388" s="6" t="s">
        <v>407</v>
      </c>
      <c r="D388" s="4" t="s">
        <v>5</v>
      </c>
      <c r="E388" s="7">
        <v>14756.99</v>
      </c>
    </row>
    <row r="389" ht="15.0" customHeight="1">
      <c r="A389" s="8">
        <v>1528.0</v>
      </c>
      <c r="B389" s="9" t="s">
        <v>399</v>
      </c>
      <c r="C389" s="10" t="s">
        <v>408</v>
      </c>
      <c r="D389" s="8" t="s">
        <v>22</v>
      </c>
      <c r="E389" s="11">
        <v>124325.03</v>
      </c>
    </row>
    <row r="390" ht="15.0" customHeight="1">
      <c r="A390" s="4">
        <v>890.0</v>
      </c>
      <c r="B390" s="5" t="s">
        <v>399</v>
      </c>
      <c r="C390" s="6" t="s">
        <v>409</v>
      </c>
      <c r="D390" s="4" t="s">
        <v>13</v>
      </c>
      <c r="E390" s="7">
        <v>2968.4</v>
      </c>
    </row>
    <row r="391" ht="15.0" customHeight="1">
      <c r="A391" s="8">
        <v>893.0</v>
      </c>
      <c r="B391" s="9" t="s">
        <v>399</v>
      </c>
      <c r="C391" s="10" t="s">
        <v>410</v>
      </c>
      <c r="D391" s="8" t="s">
        <v>5</v>
      </c>
      <c r="E391" s="11">
        <v>7124.1</v>
      </c>
    </row>
    <row r="392" ht="15.0" customHeight="1">
      <c r="A392" s="4">
        <v>884.0</v>
      </c>
      <c r="B392" s="5" t="s">
        <v>399</v>
      </c>
      <c r="C392" s="6" t="s">
        <v>411</v>
      </c>
      <c r="D392" s="4" t="s">
        <v>22</v>
      </c>
      <c r="E392" s="7">
        <v>2476.48</v>
      </c>
    </row>
    <row r="393" ht="15.0" customHeight="1">
      <c r="A393" s="8">
        <v>631.0</v>
      </c>
      <c r="B393" s="9" t="s">
        <v>399</v>
      </c>
      <c r="C393" s="10" t="s">
        <v>412</v>
      </c>
      <c r="D393" s="8" t="s">
        <v>19</v>
      </c>
      <c r="E393" s="11">
        <v>1624.23</v>
      </c>
    </row>
    <row r="394" ht="15.0" customHeight="1">
      <c r="A394" s="4">
        <v>869.0</v>
      </c>
      <c r="B394" s="5" t="s">
        <v>399</v>
      </c>
      <c r="C394" s="6" t="s">
        <v>413</v>
      </c>
      <c r="D394" s="4" t="s">
        <v>19</v>
      </c>
      <c r="E394" s="7">
        <v>3321.79</v>
      </c>
    </row>
    <row r="395" ht="15.0" customHeight="1">
      <c r="A395" s="8">
        <v>872.0</v>
      </c>
      <c r="B395" s="9" t="s">
        <v>399</v>
      </c>
      <c r="C395" s="10" t="s">
        <v>414</v>
      </c>
      <c r="D395" s="8" t="s">
        <v>19</v>
      </c>
      <c r="E395" s="11">
        <v>2645.89</v>
      </c>
    </row>
    <row r="396" ht="15.0" customHeight="1">
      <c r="A396" s="4">
        <v>294.0</v>
      </c>
      <c r="B396" s="5" t="s">
        <v>399</v>
      </c>
      <c r="C396" s="6" t="s">
        <v>415</v>
      </c>
      <c r="D396" s="4" t="s">
        <v>5</v>
      </c>
      <c r="E396" s="7">
        <v>4070.92</v>
      </c>
    </row>
    <row r="397" ht="15.0" customHeight="1">
      <c r="A397" s="8">
        <v>985.0</v>
      </c>
      <c r="B397" s="9" t="s">
        <v>399</v>
      </c>
      <c r="C397" s="10" t="s">
        <v>416</v>
      </c>
      <c r="D397" s="8" t="s">
        <v>76</v>
      </c>
      <c r="E397" s="11">
        <v>2035.46</v>
      </c>
    </row>
    <row r="398" ht="15.0" customHeight="1">
      <c r="A398" s="4">
        <v>636.0</v>
      </c>
      <c r="B398" s="5" t="s">
        <v>399</v>
      </c>
      <c r="C398" s="6" t="s">
        <v>417</v>
      </c>
      <c r="D398" s="4" t="s">
        <v>5</v>
      </c>
      <c r="E398" s="7">
        <v>5219.08</v>
      </c>
    </row>
    <row r="399" ht="15.0" customHeight="1">
      <c r="A399" s="8">
        <v>627.0</v>
      </c>
      <c r="B399" s="9" t="s">
        <v>399</v>
      </c>
      <c r="C399" s="10" t="s">
        <v>418</v>
      </c>
      <c r="D399" s="8" t="s">
        <v>5</v>
      </c>
      <c r="E399" s="11">
        <v>6197.67</v>
      </c>
    </row>
    <row r="400" ht="15.0" customHeight="1">
      <c r="A400" s="4">
        <v>887.0</v>
      </c>
      <c r="B400" s="5" t="s">
        <v>399</v>
      </c>
      <c r="C400" s="6" t="s">
        <v>419</v>
      </c>
      <c r="D400" s="4" t="s">
        <v>5</v>
      </c>
      <c r="E400" s="7">
        <v>17288.24</v>
      </c>
    </row>
    <row r="401" ht="15.0" customHeight="1">
      <c r="A401" s="8">
        <v>1038.0</v>
      </c>
      <c r="B401" s="9" t="s">
        <v>399</v>
      </c>
      <c r="C401" s="10" t="s">
        <v>420</v>
      </c>
      <c r="D401" s="8" t="s">
        <v>5</v>
      </c>
      <c r="E401" s="11">
        <v>5545.27</v>
      </c>
    </row>
    <row r="402" ht="15.0" customHeight="1">
      <c r="A402" s="4">
        <v>856.0</v>
      </c>
      <c r="B402" s="5" t="s">
        <v>399</v>
      </c>
      <c r="C402" s="6" t="s">
        <v>421</v>
      </c>
      <c r="D402" s="4" t="s">
        <v>5</v>
      </c>
      <c r="E402" s="7">
        <v>37316.53</v>
      </c>
    </row>
    <row r="403" ht="15.0" customHeight="1">
      <c r="A403" s="8">
        <v>880.0</v>
      </c>
      <c r="B403" s="9" t="s">
        <v>399</v>
      </c>
      <c r="C403" s="10" t="s">
        <v>422</v>
      </c>
      <c r="D403" s="8" t="s">
        <v>5</v>
      </c>
      <c r="E403" s="11">
        <v>35111.42</v>
      </c>
    </row>
    <row r="404" ht="15.0" customHeight="1">
      <c r="A404" s="4">
        <v>857.0</v>
      </c>
      <c r="B404" s="5" t="s">
        <v>399</v>
      </c>
      <c r="C404" s="6" t="s">
        <v>423</v>
      </c>
      <c r="D404" s="4" t="s">
        <v>5</v>
      </c>
      <c r="E404" s="7">
        <v>48681.07</v>
      </c>
    </row>
    <row r="405" ht="15.0" customHeight="1">
      <c r="A405" s="8">
        <v>881.0</v>
      </c>
      <c r="B405" s="9" t="s">
        <v>399</v>
      </c>
      <c r="C405" s="10" t="s">
        <v>424</v>
      </c>
      <c r="D405" s="8" t="s">
        <v>5</v>
      </c>
      <c r="E405" s="11">
        <v>37825.39</v>
      </c>
    </row>
    <row r="406" ht="15.0" customHeight="1">
      <c r="A406" s="4">
        <v>892.0</v>
      </c>
      <c r="B406" s="5" t="s">
        <v>399</v>
      </c>
      <c r="C406" s="6" t="s">
        <v>425</v>
      </c>
      <c r="D406" s="4" t="s">
        <v>5</v>
      </c>
      <c r="E406" s="7">
        <v>6530.38</v>
      </c>
    </row>
    <row r="407" ht="15.0" customHeight="1">
      <c r="A407" s="8">
        <v>876.0</v>
      </c>
      <c r="B407" s="9" t="s">
        <v>399</v>
      </c>
      <c r="C407" s="10" t="s">
        <v>426</v>
      </c>
      <c r="D407" s="8" t="s">
        <v>5</v>
      </c>
      <c r="E407" s="11">
        <v>129759.69</v>
      </c>
    </row>
    <row r="408" ht="15.0" customHeight="1">
      <c r="A408" s="4">
        <v>891.0</v>
      </c>
      <c r="B408" s="5" t="s">
        <v>399</v>
      </c>
      <c r="C408" s="6" t="s">
        <v>427</v>
      </c>
      <c r="D408" s="4" t="s">
        <v>5</v>
      </c>
      <c r="E408" s="7">
        <v>9837.99</v>
      </c>
    </row>
    <row r="409" ht="15.0" customHeight="1">
      <c r="A409" s="8">
        <v>898.0</v>
      </c>
      <c r="B409" s="9" t="s">
        <v>399</v>
      </c>
      <c r="C409" s="10" t="s">
        <v>428</v>
      </c>
      <c r="D409" s="8" t="s">
        <v>5</v>
      </c>
      <c r="E409" s="11">
        <v>16113.96</v>
      </c>
    </row>
    <row r="410" ht="15.0" customHeight="1">
      <c r="A410" s="4">
        <v>882.0</v>
      </c>
      <c r="B410" s="5" t="s">
        <v>399</v>
      </c>
      <c r="C410" s="6" t="s">
        <v>429</v>
      </c>
      <c r="D410" s="4" t="s">
        <v>22</v>
      </c>
      <c r="E410" s="7">
        <v>11703.83</v>
      </c>
    </row>
    <row r="411" ht="15.0" customHeight="1">
      <c r="A411" s="8">
        <v>868.0</v>
      </c>
      <c r="B411" s="9" t="s">
        <v>399</v>
      </c>
      <c r="C411" s="10" t="s">
        <v>430</v>
      </c>
      <c r="D411" s="8" t="s">
        <v>5</v>
      </c>
      <c r="E411" s="11">
        <v>39691.19</v>
      </c>
    </row>
    <row r="412" ht="15.0" customHeight="1">
      <c r="A412" s="4">
        <v>888.0</v>
      </c>
      <c r="B412" s="5" t="s">
        <v>399</v>
      </c>
      <c r="C412" s="6" t="s">
        <v>431</v>
      </c>
      <c r="D412" s="4" t="s">
        <v>5</v>
      </c>
      <c r="E412" s="7">
        <v>34941.81</v>
      </c>
    </row>
    <row r="413" ht="15.0" customHeight="1">
      <c r="A413" s="8">
        <v>878.0</v>
      </c>
      <c r="B413" s="9" t="s">
        <v>399</v>
      </c>
      <c r="C413" s="10" t="s">
        <v>432</v>
      </c>
      <c r="D413" s="8" t="s">
        <v>5</v>
      </c>
      <c r="E413" s="11">
        <v>33584.88</v>
      </c>
    </row>
    <row r="414" ht="15.0" customHeight="1">
      <c r="A414" s="4">
        <v>632.0</v>
      </c>
      <c r="B414" s="5" t="s">
        <v>399</v>
      </c>
      <c r="C414" s="6" t="s">
        <v>433</v>
      </c>
      <c r="D414" s="4" t="s">
        <v>5</v>
      </c>
      <c r="E414" s="7">
        <v>25103.82</v>
      </c>
    </row>
    <row r="415" ht="15.0" customHeight="1">
      <c r="A415" s="8">
        <v>637.0</v>
      </c>
      <c r="B415" s="9" t="s">
        <v>399</v>
      </c>
      <c r="C415" s="10" t="s">
        <v>434</v>
      </c>
      <c r="D415" s="8" t="s">
        <v>5</v>
      </c>
      <c r="E415" s="11">
        <v>17301.28</v>
      </c>
    </row>
    <row r="416" ht="15.0" customHeight="1">
      <c r="A416" s="4">
        <v>634.0</v>
      </c>
      <c r="B416" s="5" t="s">
        <v>399</v>
      </c>
      <c r="C416" s="6" t="s">
        <v>435</v>
      </c>
      <c r="D416" s="4" t="s">
        <v>5</v>
      </c>
      <c r="E416" s="7">
        <v>31040.53</v>
      </c>
    </row>
    <row r="417" ht="15.0" customHeight="1">
      <c r="A417" s="8">
        <v>633.0</v>
      </c>
      <c r="B417" s="9" t="s">
        <v>399</v>
      </c>
      <c r="C417" s="10" t="s">
        <v>436</v>
      </c>
      <c r="D417" s="8" t="s">
        <v>5</v>
      </c>
      <c r="E417" s="11">
        <v>39012.7</v>
      </c>
    </row>
    <row r="418" ht="15.0" customHeight="1">
      <c r="A418" s="4">
        <v>635.0</v>
      </c>
      <c r="B418" s="5" t="s">
        <v>399</v>
      </c>
      <c r="C418" s="6" t="s">
        <v>437</v>
      </c>
      <c r="D418" s="4" t="s">
        <v>5</v>
      </c>
      <c r="E418" s="7">
        <v>4868.12</v>
      </c>
    </row>
    <row r="419" ht="15.0" customHeight="1">
      <c r="A419" s="8">
        <v>626.0</v>
      </c>
      <c r="B419" s="9" t="s">
        <v>399</v>
      </c>
      <c r="C419" s="10" t="s">
        <v>438</v>
      </c>
      <c r="D419" s="8" t="s">
        <v>5</v>
      </c>
      <c r="E419" s="11">
        <v>9498.76</v>
      </c>
    </row>
    <row r="420" ht="15.0" customHeight="1">
      <c r="A420" s="4">
        <v>894.0</v>
      </c>
      <c r="B420" s="5" t="s">
        <v>399</v>
      </c>
      <c r="C420" s="6" t="s">
        <v>439</v>
      </c>
      <c r="D420" s="4" t="s">
        <v>5</v>
      </c>
      <c r="E420" s="7">
        <v>2798.74</v>
      </c>
    </row>
    <row r="421" ht="15.0" customHeight="1">
      <c r="A421" s="8">
        <v>1530.0</v>
      </c>
      <c r="B421" s="9" t="s">
        <v>399</v>
      </c>
      <c r="C421" s="10" t="s">
        <v>440</v>
      </c>
      <c r="D421" s="8" t="s">
        <v>5</v>
      </c>
      <c r="E421" s="11">
        <v>10611.18</v>
      </c>
    </row>
    <row r="422" ht="15.0" customHeight="1">
      <c r="A422" s="4">
        <v>1529.0</v>
      </c>
      <c r="B422" s="5" t="s">
        <v>399</v>
      </c>
      <c r="C422" s="6" t="s">
        <v>441</v>
      </c>
      <c r="D422" s="4" t="s">
        <v>76</v>
      </c>
      <c r="E422" s="7">
        <v>13461.98</v>
      </c>
    </row>
    <row r="423" ht="15.0" customHeight="1">
      <c r="A423" s="8">
        <v>1532.0</v>
      </c>
      <c r="B423" s="9" t="s">
        <v>399</v>
      </c>
      <c r="C423" s="10" t="s">
        <v>442</v>
      </c>
      <c r="D423" s="8" t="s">
        <v>5</v>
      </c>
      <c r="E423" s="11">
        <v>10294.42</v>
      </c>
    </row>
    <row r="424" ht="15.0" customHeight="1">
      <c r="A424" s="4">
        <v>1531.0</v>
      </c>
      <c r="B424" s="5" t="s">
        <v>399</v>
      </c>
      <c r="C424" s="6" t="s">
        <v>443</v>
      </c>
      <c r="D424" s="4" t="s">
        <v>5</v>
      </c>
      <c r="E424" s="7">
        <v>8869.04</v>
      </c>
    </row>
    <row r="425" ht="15.0" customHeight="1">
      <c r="A425" s="8">
        <v>515.0</v>
      </c>
      <c r="B425" s="9" t="s">
        <v>444</v>
      </c>
      <c r="C425" s="10" t="s">
        <v>445</v>
      </c>
      <c r="D425" s="8" t="s">
        <v>22</v>
      </c>
      <c r="E425" s="11">
        <v>33124.47</v>
      </c>
    </row>
    <row r="426" ht="15.0" customHeight="1">
      <c r="A426" s="4">
        <v>714.0</v>
      </c>
      <c r="B426" s="5" t="s">
        <v>444</v>
      </c>
      <c r="C426" s="6" t="s">
        <v>446</v>
      </c>
      <c r="D426" s="4" t="s">
        <v>22</v>
      </c>
      <c r="E426" s="7">
        <v>42055.1</v>
      </c>
    </row>
    <row r="427" ht="15.0" customHeight="1">
      <c r="A427" s="8">
        <v>715.0</v>
      </c>
      <c r="B427" s="9" t="s">
        <v>444</v>
      </c>
      <c r="C427" s="10" t="s">
        <v>447</v>
      </c>
      <c r="D427" s="8" t="s">
        <v>22</v>
      </c>
      <c r="E427" s="11">
        <v>66898.47</v>
      </c>
    </row>
    <row r="428" ht="15.0" customHeight="1">
      <c r="A428" s="4">
        <v>536.0</v>
      </c>
      <c r="B428" s="5" t="s">
        <v>444</v>
      </c>
      <c r="C428" s="6" t="s">
        <v>448</v>
      </c>
      <c r="D428" s="4" t="s">
        <v>22</v>
      </c>
      <c r="E428" s="7">
        <v>48874.88</v>
      </c>
    </row>
    <row r="429" ht="15.0" customHeight="1">
      <c r="A429" s="8">
        <v>1679.0</v>
      </c>
      <c r="B429" s="9" t="s">
        <v>444</v>
      </c>
      <c r="C429" s="10" t="s">
        <v>449</v>
      </c>
      <c r="D429" s="8" t="s">
        <v>22</v>
      </c>
      <c r="E429" s="11">
        <v>270324.53</v>
      </c>
    </row>
    <row r="430" ht="15.0" customHeight="1">
      <c r="A430" s="4">
        <v>523.0</v>
      </c>
      <c r="B430" s="5" t="s">
        <v>444</v>
      </c>
      <c r="C430" s="6" t="s">
        <v>450</v>
      </c>
      <c r="D430" s="4" t="s">
        <v>22</v>
      </c>
      <c r="E430" s="7">
        <v>79076.58</v>
      </c>
    </row>
    <row r="431" ht="15.0" customHeight="1">
      <c r="A431" s="8">
        <v>524.0</v>
      </c>
      <c r="B431" s="9" t="s">
        <v>444</v>
      </c>
      <c r="C431" s="10" t="s">
        <v>451</v>
      </c>
      <c r="D431" s="8" t="s">
        <v>22</v>
      </c>
      <c r="E431" s="11">
        <v>95801.18</v>
      </c>
    </row>
    <row r="432" ht="15.0" customHeight="1">
      <c r="A432" s="4">
        <v>1678.0</v>
      </c>
      <c r="B432" s="5" t="s">
        <v>444</v>
      </c>
      <c r="C432" s="6" t="s">
        <v>452</v>
      </c>
      <c r="D432" s="4" t="s">
        <v>22</v>
      </c>
      <c r="E432" s="7">
        <v>102408.67</v>
      </c>
    </row>
    <row r="433" ht="15.0" customHeight="1">
      <c r="A433" s="8">
        <v>535.0</v>
      </c>
      <c r="B433" s="9" t="s">
        <v>444</v>
      </c>
      <c r="C433" s="10" t="s">
        <v>453</v>
      </c>
      <c r="D433" s="8" t="s">
        <v>22</v>
      </c>
      <c r="E433" s="11">
        <v>144513.69</v>
      </c>
    </row>
    <row r="434" ht="15.0" customHeight="1">
      <c r="A434" s="4">
        <v>520.0</v>
      </c>
      <c r="B434" s="5" t="s">
        <v>444</v>
      </c>
      <c r="C434" s="6" t="s">
        <v>454</v>
      </c>
      <c r="D434" s="4" t="s">
        <v>22</v>
      </c>
      <c r="E434" s="7">
        <v>89306.21</v>
      </c>
    </row>
    <row r="435" ht="15.0" customHeight="1">
      <c r="A435" s="8">
        <v>519.0</v>
      </c>
      <c r="B435" s="9" t="s">
        <v>444</v>
      </c>
      <c r="C435" s="10" t="s">
        <v>455</v>
      </c>
      <c r="D435" s="8" t="s">
        <v>22</v>
      </c>
      <c r="E435" s="11">
        <v>73068.73</v>
      </c>
    </row>
    <row r="436" ht="15.0" customHeight="1">
      <c r="A436" s="4">
        <v>518.0</v>
      </c>
      <c r="B436" s="5" t="s">
        <v>444</v>
      </c>
      <c r="C436" s="6" t="s">
        <v>456</v>
      </c>
      <c r="D436" s="4" t="s">
        <v>22</v>
      </c>
      <c r="E436" s="7">
        <v>105543.72</v>
      </c>
    </row>
    <row r="437" ht="15.0" customHeight="1">
      <c r="A437" s="8">
        <v>525.0</v>
      </c>
      <c r="B437" s="9" t="s">
        <v>444</v>
      </c>
      <c r="C437" s="10" t="s">
        <v>457</v>
      </c>
      <c r="D437" s="8" t="s">
        <v>22</v>
      </c>
      <c r="E437" s="11">
        <v>225701.15</v>
      </c>
    </row>
    <row r="438" ht="15.0" customHeight="1">
      <c r="A438" s="4">
        <v>521.0</v>
      </c>
      <c r="B438" s="5" t="s">
        <v>444</v>
      </c>
      <c r="C438" s="6" t="s">
        <v>458</v>
      </c>
      <c r="D438" s="4" t="s">
        <v>22</v>
      </c>
      <c r="E438" s="7">
        <v>90280.43</v>
      </c>
    </row>
    <row r="439" ht="15.0" customHeight="1">
      <c r="A439" s="8">
        <v>716.0</v>
      </c>
      <c r="B439" s="9" t="s">
        <v>444</v>
      </c>
      <c r="C439" s="10" t="s">
        <v>459</v>
      </c>
      <c r="D439" s="8" t="s">
        <v>22</v>
      </c>
      <c r="E439" s="11">
        <v>168058.08</v>
      </c>
    </row>
    <row r="440" ht="15.0" customHeight="1">
      <c r="A440" s="4">
        <v>522.0</v>
      </c>
      <c r="B440" s="5" t="s">
        <v>444</v>
      </c>
      <c r="C440" s="6" t="s">
        <v>460</v>
      </c>
      <c r="D440" s="4" t="s">
        <v>22</v>
      </c>
      <c r="E440" s="7">
        <v>197447.9</v>
      </c>
    </row>
    <row r="441" ht="15.0" customHeight="1">
      <c r="A441" s="8">
        <v>1061.0</v>
      </c>
      <c r="B441" s="9" t="s">
        <v>461</v>
      </c>
      <c r="C441" s="10" t="s">
        <v>462</v>
      </c>
      <c r="D441" s="8" t="s">
        <v>5</v>
      </c>
      <c r="E441" s="11">
        <v>1380311.09</v>
      </c>
    </row>
    <row r="442" ht="15.0" customHeight="1">
      <c r="A442" s="4">
        <v>1060.0</v>
      </c>
      <c r="B442" s="5" t="s">
        <v>461</v>
      </c>
      <c r="C442" s="6" t="s">
        <v>463</v>
      </c>
      <c r="D442" s="4" t="s">
        <v>5</v>
      </c>
      <c r="E442" s="7">
        <v>4465712.26</v>
      </c>
    </row>
    <row r="443" ht="15.0" customHeight="1">
      <c r="A443" s="8">
        <v>1059.0</v>
      </c>
      <c r="B443" s="9" t="s">
        <v>461</v>
      </c>
      <c r="C443" s="10" t="s">
        <v>464</v>
      </c>
      <c r="D443" s="8" t="s">
        <v>5</v>
      </c>
      <c r="E443" s="11">
        <v>5866322.04</v>
      </c>
    </row>
    <row r="444" ht="15.0" customHeight="1">
      <c r="A444" s="4">
        <v>1056.0</v>
      </c>
      <c r="B444" s="5" t="s">
        <v>461</v>
      </c>
      <c r="C444" s="6" t="s">
        <v>465</v>
      </c>
      <c r="D444" s="4" t="s">
        <v>5</v>
      </c>
      <c r="E444" s="7">
        <v>1400609.78</v>
      </c>
    </row>
    <row r="445" ht="15.0" customHeight="1">
      <c r="A445" s="8">
        <v>1057.0</v>
      </c>
      <c r="B445" s="9" t="s">
        <v>461</v>
      </c>
      <c r="C445" s="10" t="s">
        <v>466</v>
      </c>
      <c r="D445" s="8" t="s">
        <v>5</v>
      </c>
      <c r="E445" s="11">
        <v>1928375.74</v>
      </c>
    </row>
    <row r="446" ht="15.0" customHeight="1">
      <c r="A446" s="4">
        <v>1058.0</v>
      </c>
      <c r="B446" s="5" t="s">
        <v>461</v>
      </c>
      <c r="C446" s="6" t="s">
        <v>467</v>
      </c>
      <c r="D446" s="4" t="s">
        <v>5</v>
      </c>
      <c r="E446" s="7">
        <v>2943310.38</v>
      </c>
    </row>
    <row r="447" ht="15.0" customHeight="1">
      <c r="A447" s="8">
        <v>1036.0</v>
      </c>
      <c r="B447" s="9" t="s">
        <v>468</v>
      </c>
      <c r="C447" s="10" t="s">
        <v>469</v>
      </c>
      <c r="D447" s="8" t="s">
        <v>5</v>
      </c>
      <c r="E447" s="11">
        <v>1260891.07</v>
      </c>
    </row>
    <row r="448" ht="15.0" customHeight="1">
      <c r="A448" s="4">
        <v>1037.0</v>
      </c>
      <c r="B448" s="5" t="s">
        <v>468</v>
      </c>
      <c r="C448" s="6" t="s">
        <v>470</v>
      </c>
      <c r="D448" s="4" t="s">
        <v>5</v>
      </c>
      <c r="E448" s="7">
        <v>2115732.39</v>
      </c>
    </row>
    <row r="449" ht="15.0" customHeight="1">
      <c r="A449" s="8">
        <v>1504.0</v>
      </c>
      <c r="B449" s="9" t="s">
        <v>468</v>
      </c>
      <c r="C449" s="10" t="s">
        <v>471</v>
      </c>
      <c r="D449" s="8" t="s">
        <v>5</v>
      </c>
      <c r="E449" s="11">
        <v>2186998.33</v>
      </c>
    </row>
    <row r="450" ht="15.0" customHeight="1">
      <c r="A450" s="4">
        <v>1505.0</v>
      </c>
      <c r="B450" s="5" t="s">
        <v>468</v>
      </c>
      <c r="C450" s="6" t="s">
        <v>472</v>
      </c>
      <c r="D450" s="4" t="s">
        <v>5</v>
      </c>
      <c r="E450" s="7">
        <v>2908532.72</v>
      </c>
    </row>
    <row r="451" ht="15.0" customHeight="1">
      <c r="A451" s="8">
        <v>1508.0</v>
      </c>
      <c r="B451" s="9" t="s">
        <v>468</v>
      </c>
      <c r="C451" s="10" t="s">
        <v>473</v>
      </c>
      <c r="D451" s="8" t="s">
        <v>5</v>
      </c>
      <c r="E451" s="11">
        <v>920966.84</v>
      </c>
    </row>
    <row r="452" ht="15.0" customHeight="1">
      <c r="A452" s="4">
        <v>1000.0</v>
      </c>
      <c r="B452" s="5" t="s">
        <v>468</v>
      </c>
      <c r="C452" s="6" t="s">
        <v>474</v>
      </c>
      <c r="D452" s="4" t="s">
        <v>5</v>
      </c>
      <c r="E452" s="7">
        <v>951011.09</v>
      </c>
    </row>
    <row r="453" ht="15.0" customHeight="1">
      <c r="A453" s="8">
        <v>509.0</v>
      </c>
      <c r="B453" s="9" t="s">
        <v>468</v>
      </c>
      <c r="C453" s="10" t="s">
        <v>475</v>
      </c>
      <c r="D453" s="8" t="s">
        <v>5</v>
      </c>
      <c r="E453" s="11">
        <v>339799.42</v>
      </c>
    </row>
    <row r="454" ht="15.0" customHeight="1">
      <c r="A454" s="4">
        <v>1506.0</v>
      </c>
      <c r="B454" s="5" t="s">
        <v>468</v>
      </c>
      <c r="C454" s="6" t="s">
        <v>476</v>
      </c>
      <c r="D454" s="4" t="s">
        <v>5</v>
      </c>
      <c r="E454" s="7">
        <v>4656731.68</v>
      </c>
    </row>
    <row r="455" ht="15.0" customHeight="1">
      <c r="A455" s="8">
        <v>594.0</v>
      </c>
      <c r="B455" s="9" t="s">
        <v>468</v>
      </c>
      <c r="C455" s="10" t="s">
        <v>477</v>
      </c>
      <c r="D455" s="8" t="s">
        <v>5</v>
      </c>
      <c r="E455" s="11">
        <v>7586717.26</v>
      </c>
    </row>
    <row r="456" ht="15.0" customHeight="1">
      <c r="A456" s="4">
        <v>998.0</v>
      </c>
      <c r="B456" s="5" t="s">
        <v>468</v>
      </c>
      <c r="C456" s="6" t="s">
        <v>478</v>
      </c>
      <c r="D456" s="4" t="s">
        <v>5</v>
      </c>
      <c r="E456" s="7">
        <v>5158333.18</v>
      </c>
    </row>
    <row r="457" ht="15.0" customHeight="1">
      <c r="A457" s="8">
        <v>595.0</v>
      </c>
      <c r="B457" s="9" t="s">
        <v>468</v>
      </c>
      <c r="C457" s="10" t="s">
        <v>479</v>
      </c>
      <c r="D457" s="8" t="s">
        <v>5</v>
      </c>
      <c r="E457" s="11">
        <v>4594772.43</v>
      </c>
    </row>
    <row r="458" ht="15.0" customHeight="1">
      <c r="A458" s="4">
        <v>1714.0</v>
      </c>
      <c r="B458" s="5" t="s">
        <v>468</v>
      </c>
      <c r="C458" s="6" t="s">
        <v>480</v>
      </c>
      <c r="D458" s="4" t="s">
        <v>5</v>
      </c>
      <c r="E458" s="7">
        <v>917437.33</v>
      </c>
    </row>
    <row r="459" ht="15.0" customHeight="1">
      <c r="A459" s="8">
        <v>1716.0</v>
      </c>
      <c r="B459" s="9" t="s">
        <v>468</v>
      </c>
      <c r="C459" s="10" t="s">
        <v>481</v>
      </c>
      <c r="D459" s="8" t="s">
        <v>5</v>
      </c>
      <c r="E459" s="11">
        <v>485311.04</v>
      </c>
    </row>
    <row r="460" ht="15.0" customHeight="1">
      <c r="A460" s="4">
        <v>1715.0</v>
      </c>
      <c r="B460" s="5" t="s">
        <v>468</v>
      </c>
      <c r="C460" s="6" t="s">
        <v>482</v>
      </c>
      <c r="D460" s="4" t="s">
        <v>5</v>
      </c>
      <c r="E460" s="7">
        <v>545143.9</v>
      </c>
    </row>
    <row r="461" ht="15.0" customHeight="1">
      <c r="A461" s="8">
        <v>584.0</v>
      </c>
      <c r="B461" s="9" t="s">
        <v>468</v>
      </c>
      <c r="C461" s="10" t="s">
        <v>483</v>
      </c>
      <c r="D461" s="8" t="s">
        <v>5</v>
      </c>
      <c r="E461" s="11">
        <v>854841.37</v>
      </c>
    </row>
    <row r="462" ht="15.0" customHeight="1">
      <c r="A462" s="4">
        <v>982.0</v>
      </c>
      <c r="B462" s="5" t="s">
        <v>468</v>
      </c>
      <c r="C462" s="6" t="s">
        <v>484</v>
      </c>
      <c r="D462" s="4" t="s">
        <v>5</v>
      </c>
      <c r="E462" s="7">
        <v>534275.83</v>
      </c>
    </row>
    <row r="463" ht="15.0" customHeight="1">
      <c r="A463" s="8">
        <v>585.0</v>
      </c>
      <c r="B463" s="9" t="s">
        <v>468</v>
      </c>
      <c r="C463" s="10" t="s">
        <v>485</v>
      </c>
      <c r="D463" s="8" t="s">
        <v>5</v>
      </c>
      <c r="E463" s="11">
        <v>769357.24</v>
      </c>
    </row>
    <row r="464" ht="15.0" customHeight="1">
      <c r="A464" s="4">
        <v>1502.0</v>
      </c>
      <c r="B464" s="5" t="s">
        <v>468</v>
      </c>
      <c r="C464" s="6" t="s">
        <v>486</v>
      </c>
      <c r="D464" s="4" t="s">
        <v>5</v>
      </c>
      <c r="E464" s="7">
        <v>575604.26</v>
      </c>
    </row>
    <row r="465" ht="15.0" customHeight="1">
      <c r="A465" s="8">
        <v>1503.0</v>
      </c>
      <c r="B465" s="9" t="s">
        <v>468</v>
      </c>
      <c r="C465" s="10" t="s">
        <v>487</v>
      </c>
      <c r="D465" s="8" t="s">
        <v>5</v>
      </c>
      <c r="E465" s="11">
        <v>690725.11</v>
      </c>
    </row>
    <row r="466" ht="15.0" customHeight="1">
      <c r="A466" s="4">
        <v>588.0</v>
      </c>
      <c r="B466" s="5" t="s">
        <v>468</v>
      </c>
      <c r="C466" s="6" t="s">
        <v>488</v>
      </c>
      <c r="D466" s="4" t="s">
        <v>5</v>
      </c>
      <c r="E466" s="7">
        <v>983067.59</v>
      </c>
    </row>
    <row r="467" ht="15.0" customHeight="1">
      <c r="A467" s="8">
        <v>587.0</v>
      </c>
      <c r="B467" s="9" t="s">
        <v>468</v>
      </c>
      <c r="C467" s="10" t="s">
        <v>489</v>
      </c>
      <c r="D467" s="8" t="s">
        <v>5</v>
      </c>
      <c r="E467" s="11">
        <v>1260891.07</v>
      </c>
    </row>
    <row r="468" ht="15.0" customHeight="1">
      <c r="A468" s="4">
        <v>1499.0</v>
      </c>
      <c r="B468" s="5" t="s">
        <v>468</v>
      </c>
      <c r="C468" s="6" t="s">
        <v>490</v>
      </c>
      <c r="D468" s="4" t="s">
        <v>5</v>
      </c>
      <c r="E468" s="7">
        <v>748285.55</v>
      </c>
    </row>
    <row r="469" ht="15.0" customHeight="1">
      <c r="A469" s="8">
        <v>586.0</v>
      </c>
      <c r="B469" s="9" t="s">
        <v>468</v>
      </c>
      <c r="C469" s="10" t="s">
        <v>491</v>
      </c>
      <c r="D469" s="8" t="s">
        <v>5</v>
      </c>
      <c r="E469" s="11">
        <v>1346375.15</v>
      </c>
    </row>
    <row r="470" ht="15.0" customHeight="1">
      <c r="A470" s="4">
        <v>1587.0</v>
      </c>
      <c r="B470" s="5" t="s">
        <v>468</v>
      </c>
      <c r="C470" s="6" t="s">
        <v>492</v>
      </c>
      <c r="D470" s="4" t="s">
        <v>5</v>
      </c>
      <c r="E470" s="7">
        <v>527637.25</v>
      </c>
    </row>
    <row r="471" ht="15.0" customHeight="1">
      <c r="A471" s="8">
        <v>1586.0</v>
      </c>
      <c r="B471" s="9" t="s">
        <v>468</v>
      </c>
      <c r="C471" s="10" t="s">
        <v>493</v>
      </c>
      <c r="D471" s="8" t="s">
        <v>5</v>
      </c>
      <c r="E471" s="11">
        <v>468158.12</v>
      </c>
    </row>
    <row r="472" ht="15.0" customHeight="1">
      <c r="A472" s="4">
        <v>1507.0</v>
      </c>
      <c r="B472" s="5" t="s">
        <v>468</v>
      </c>
      <c r="C472" s="6" t="s">
        <v>494</v>
      </c>
      <c r="D472" s="4" t="s">
        <v>5</v>
      </c>
      <c r="E472" s="7">
        <v>863406.37</v>
      </c>
    </row>
    <row r="473" ht="15.0" customHeight="1">
      <c r="A473" s="8">
        <v>1717.0</v>
      </c>
      <c r="B473" s="9" t="s">
        <v>468</v>
      </c>
      <c r="C473" s="10" t="s">
        <v>495</v>
      </c>
      <c r="D473" s="8" t="s">
        <v>5</v>
      </c>
      <c r="E473" s="11">
        <v>618272.97</v>
      </c>
    </row>
    <row r="474" ht="15.0" customHeight="1">
      <c r="A474" s="4">
        <v>591.0</v>
      </c>
      <c r="B474" s="5" t="s">
        <v>468</v>
      </c>
      <c r="C474" s="6" t="s">
        <v>496</v>
      </c>
      <c r="D474" s="4" t="s">
        <v>5</v>
      </c>
      <c r="E474" s="7">
        <v>1282262.08</v>
      </c>
    </row>
    <row r="475" ht="15.0" customHeight="1">
      <c r="A475" s="8">
        <v>597.0</v>
      </c>
      <c r="B475" s="9" t="s">
        <v>468</v>
      </c>
      <c r="C475" s="10" t="s">
        <v>497</v>
      </c>
      <c r="D475" s="8" t="s">
        <v>5</v>
      </c>
      <c r="E475" s="11">
        <v>780042.74</v>
      </c>
    </row>
    <row r="476" ht="15.0" customHeight="1">
      <c r="A476" s="4">
        <v>1477.0</v>
      </c>
      <c r="B476" s="5" t="s">
        <v>468</v>
      </c>
      <c r="C476" s="6" t="s">
        <v>498</v>
      </c>
      <c r="D476" s="4" t="s">
        <v>5</v>
      </c>
      <c r="E476" s="7">
        <v>0.0</v>
      </c>
    </row>
    <row r="477" ht="15.0" customHeight="1">
      <c r="A477" s="8">
        <v>1718.0</v>
      </c>
      <c r="B477" s="9" t="s">
        <v>468</v>
      </c>
      <c r="C477" s="10" t="s">
        <v>499</v>
      </c>
      <c r="D477" s="8" t="s">
        <v>5</v>
      </c>
      <c r="E477" s="11">
        <v>239331.47</v>
      </c>
    </row>
    <row r="478" ht="15.0" customHeight="1">
      <c r="A478" s="4">
        <v>1719.0</v>
      </c>
      <c r="B478" s="5" t="s">
        <v>468</v>
      </c>
      <c r="C478" s="6" t="s">
        <v>500</v>
      </c>
      <c r="D478" s="4" t="s">
        <v>5</v>
      </c>
      <c r="E478" s="7">
        <v>86425.26</v>
      </c>
    </row>
    <row r="479" ht="15.0" customHeight="1">
      <c r="A479" s="8">
        <v>1438.0</v>
      </c>
      <c r="B479" s="9" t="s">
        <v>468</v>
      </c>
      <c r="C479" s="10" t="s">
        <v>501</v>
      </c>
      <c r="D479" s="8" t="s">
        <v>5</v>
      </c>
      <c r="E479" s="11">
        <v>230241.71</v>
      </c>
    </row>
    <row r="480" ht="15.0" customHeight="1">
      <c r="A480" s="4">
        <v>1588.0</v>
      </c>
      <c r="B480" s="5" t="s">
        <v>468</v>
      </c>
      <c r="C480" s="6" t="s">
        <v>502</v>
      </c>
      <c r="D480" s="4" t="s">
        <v>5</v>
      </c>
      <c r="E480" s="7">
        <v>147546.55</v>
      </c>
    </row>
    <row r="481" ht="15.0" customHeight="1">
      <c r="A481" s="8">
        <v>598.0</v>
      </c>
      <c r="B481" s="9" t="s">
        <v>468</v>
      </c>
      <c r="C481" s="10" t="s">
        <v>503</v>
      </c>
      <c r="D481" s="8" t="s">
        <v>5</v>
      </c>
      <c r="E481" s="11">
        <v>263932.26</v>
      </c>
    </row>
    <row r="482" ht="15.0" customHeight="1">
      <c r="A482" s="4">
        <v>599.0</v>
      </c>
      <c r="B482" s="5" t="s">
        <v>468</v>
      </c>
      <c r="C482" s="6" t="s">
        <v>504</v>
      </c>
      <c r="D482" s="4" t="s">
        <v>5</v>
      </c>
      <c r="E482" s="7">
        <v>146391.57</v>
      </c>
    </row>
    <row r="483" ht="15.0" customHeight="1">
      <c r="A483" s="8">
        <v>1074.0</v>
      </c>
      <c r="B483" s="9" t="s">
        <v>468</v>
      </c>
      <c r="C483" s="10" t="s">
        <v>505</v>
      </c>
      <c r="D483" s="8" t="s">
        <v>5</v>
      </c>
      <c r="E483" s="11">
        <v>1902022.04</v>
      </c>
    </row>
    <row r="484" ht="15.0" customHeight="1">
      <c r="A484" s="4">
        <v>1509.0</v>
      </c>
      <c r="B484" s="5" t="s">
        <v>468</v>
      </c>
      <c r="C484" s="6" t="s">
        <v>506</v>
      </c>
      <c r="D484" s="4" t="s">
        <v>5</v>
      </c>
      <c r="E484" s="7">
        <v>1103241.47</v>
      </c>
    </row>
    <row r="485" ht="15.0" customHeight="1">
      <c r="A485" s="8">
        <v>999.0</v>
      </c>
      <c r="B485" s="9" t="s">
        <v>468</v>
      </c>
      <c r="C485" s="10" t="s">
        <v>507</v>
      </c>
      <c r="D485" s="8" t="s">
        <v>5</v>
      </c>
      <c r="E485" s="11">
        <v>1154035.87</v>
      </c>
    </row>
    <row r="486" ht="15.0" customHeight="1">
      <c r="A486" s="4">
        <v>1075.0</v>
      </c>
      <c r="B486" s="5" t="s">
        <v>468</v>
      </c>
      <c r="C486" s="6" t="s">
        <v>508</v>
      </c>
      <c r="D486" s="4" t="s">
        <v>5</v>
      </c>
      <c r="E486" s="7">
        <v>235081.36</v>
      </c>
    </row>
    <row r="487" ht="15.0" customHeight="1">
      <c r="A487" s="8">
        <v>1461.0</v>
      </c>
      <c r="B487" s="9" t="s">
        <v>468</v>
      </c>
      <c r="C487" s="10" t="s">
        <v>509</v>
      </c>
      <c r="D487" s="8" t="s">
        <v>5</v>
      </c>
      <c r="E487" s="11">
        <v>1170395.29</v>
      </c>
    </row>
    <row r="488" ht="15.0" customHeight="1">
      <c r="A488" s="4">
        <v>1085.0</v>
      </c>
      <c r="B488" s="5" t="s">
        <v>468</v>
      </c>
      <c r="C488" s="6" t="s">
        <v>510</v>
      </c>
      <c r="D488" s="4" t="s">
        <v>5</v>
      </c>
      <c r="E488" s="7">
        <v>147460.14</v>
      </c>
    </row>
    <row r="489" ht="15.0" customHeight="1">
      <c r="A489" s="8">
        <v>1084.0</v>
      </c>
      <c r="B489" s="9" t="s">
        <v>468</v>
      </c>
      <c r="C489" s="10" t="s">
        <v>511</v>
      </c>
      <c r="D489" s="8" t="s">
        <v>5</v>
      </c>
      <c r="E489" s="11">
        <v>55351.01</v>
      </c>
    </row>
    <row r="490" ht="15.0" customHeight="1">
      <c r="A490" s="4">
        <v>1086.0</v>
      </c>
      <c r="B490" s="5" t="s">
        <v>468</v>
      </c>
      <c r="C490" s="6" t="s">
        <v>512</v>
      </c>
      <c r="D490" s="4" t="s">
        <v>5</v>
      </c>
      <c r="E490" s="7">
        <v>76508.31</v>
      </c>
    </row>
    <row r="491" ht="15.0" customHeight="1">
      <c r="A491" s="8">
        <v>1088.0</v>
      </c>
      <c r="B491" s="9" t="s">
        <v>468</v>
      </c>
      <c r="C491" s="10" t="s">
        <v>513</v>
      </c>
      <c r="D491" s="8" t="s">
        <v>5</v>
      </c>
      <c r="E491" s="11">
        <v>1008594.32</v>
      </c>
    </row>
    <row r="492" ht="15.0" customHeight="1">
      <c r="A492" s="4">
        <v>601.0</v>
      </c>
      <c r="B492" s="5" t="s">
        <v>468</v>
      </c>
      <c r="C492" s="6" t="s">
        <v>514</v>
      </c>
      <c r="D492" s="4" t="s">
        <v>515</v>
      </c>
      <c r="E492" s="7">
        <v>0.0</v>
      </c>
    </row>
    <row r="493" ht="15.0" customHeight="1">
      <c r="A493" s="8">
        <v>596.0</v>
      </c>
      <c r="B493" s="9" t="s">
        <v>468</v>
      </c>
      <c r="C493" s="10" t="s">
        <v>516</v>
      </c>
      <c r="D493" s="8" t="s">
        <v>5</v>
      </c>
      <c r="E493" s="11">
        <v>1731053.81</v>
      </c>
    </row>
    <row r="494" ht="15.0" customHeight="1">
      <c r="A494" s="4">
        <v>590.0</v>
      </c>
      <c r="B494" s="5" t="s">
        <v>468</v>
      </c>
      <c r="C494" s="6" t="s">
        <v>517</v>
      </c>
      <c r="D494" s="4" t="s">
        <v>5</v>
      </c>
      <c r="E494" s="7">
        <v>1111293.79</v>
      </c>
    </row>
    <row r="495" ht="15.0" customHeight="1">
      <c r="A495" s="8">
        <v>589.0</v>
      </c>
      <c r="B495" s="9" t="s">
        <v>468</v>
      </c>
      <c r="C495" s="10" t="s">
        <v>518</v>
      </c>
      <c r="D495" s="8" t="s">
        <v>5</v>
      </c>
      <c r="E495" s="11">
        <v>747986.22</v>
      </c>
    </row>
    <row r="496" ht="15.0" customHeight="1">
      <c r="A496" s="4">
        <v>1500.0</v>
      </c>
      <c r="B496" s="5" t="s">
        <v>468</v>
      </c>
      <c r="C496" s="6" t="s">
        <v>519</v>
      </c>
      <c r="D496" s="4" t="s">
        <v>5</v>
      </c>
      <c r="E496" s="7">
        <v>1007307.43</v>
      </c>
    </row>
    <row r="497" ht="15.0" customHeight="1">
      <c r="A497" s="8">
        <v>592.0</v>
      </c>
      <c r="B497" s="9" t="s">
        <v>468</v>
      </c>
      <c r="C497" s="10" t="s">
        <v>520</v>
      </c>
      <c r="D497" s="8" t="s">
        <v>5</v>
      </c>
      <c r="E497" s="11">
        <v>256452.42</v>
      </c>
    </row>
    <row r="498" ht="15.0" customHeight="1">
      <c r="A498" s="4">
        <v>600.0</v>
      </c>
      <c r="B498" s="5" t="s">
        <v>468</v>
      </c>
      <c r="C498" s="6" t="s">
        <v>521</v>
      </c>
      <c r="D498" s="4" t="s">
        <v>5</v>
      </c>
      <c r="E498" s="7">
        <v>210504.68</v>
      </c>
    </row>
    <row r="499" ht="15.0" customHeight="1">
      <c r="A499" s="8">
        <v>1490.0</v>
      </c>
      <c r="B499" s="9" t="s">
        <v>522</v>
      </c>
      <c r="C499" s="10" t="s">
        <v>523</v>
      </c>
      <c r="D499" s="8" t="s">
        <v>5</v>
      </c>
      <c r="E499" s="11">
        <v>4102.84</v>
      </c>
    </row>
    <row r="500" ht="15.0" customHeight="1">
      <c r="A500" s="4">
        <v>1494.0</v>
      </c>
      <c r="B500" s="5" t="s">
        <v>522</v>
      </c>
      <c r="C500" s="6" t="s">
        <v>524</v>
      </c>
      <c r="D500" s="4" t="s">
        <v>5</v>
      </c>
      <c r="E500" s="7">
        <v>52031.27</v>
      </c>
    </row>
    <row r="501" ht="15.0" customHeight="1">
      <c r="A501" s="8">
        <v>1492.0</v>
      </c>
      <c r="B501" s="9" t="s">
        <v>522</v>
      </c>
      <c r="C501" s="10" t="s">
        <v>525</v>
      </c>
      <c r="D501" s="8" t="s">
        <v>5</v>
      </c>
      <c r="E501" s="11">
        <v>16597.78</v>
      </c>
    </row>
    <row r="502" ht="15.0" customHeight="1">
      <c r="A502" s="4">
        <v>1497.0</v>
      </c>
      <c r="B502" s="5" t="s">
        <v>522</v>
      </c>
      <c r="C502" s="6" t="s">
        <v>526</v>
      </c>
      <c r="D502" s="4" t="s">
        <v>5</v>
      </c>
      <c r="E502" s="7">
        <v>23684.49</v>
      </c>
    </row>
    <row r="503" ht="15.0" customHeight="1">
      <c r="A503" s="8">
        <v>1495.0</v>
      </c>
      <c r="B503" s="9" t="s">
        <v>522</v>
      </c>
      <c r="C503" s="10" t="s">
        <v>527</v>
      </c>
      <c r="D503" s="8" t="s">
        <v>5</v>
      </c>
      <c r="E503" s="11">
        <v>345010.2</v>
      </c>
    </row>
    <row r="504" ht="15.0" customHeight="1">
      <c r="A504" s="4">
        <v>1733.0</v>
      </c>
      <c r="B504" s="5" t="s">
        <v>522</v>
      </c>
      <c r="C504" s="6" t="s">
        <v>528</v>
      </c>
      <c r="D504" s="4" t="s">
        <v>5</v>
      </c>
      <c r="E504" s="7">
        <v>18585.54</v>
      </c>
    </row>
    <row r="505" ht="15.0" customHeight="1">
      <c r="A505" s="8">
        <v>1496.0</v>
      </c>
      <c r="B505" s="9" t="s">
        <v>522</v>
      </c>
      <c r="C505" s="10" t="s">
        <v>529</v>
      </c>
      <c r="D505" s="8" t="s">
        <v>5</v>
      </c>
      <c r="E505" s="11">
        <v>12867.93</v>
      </c>
    </row>
    <row r="506" ht="15.0" customHeight="1">
      <c r="A506" s="4">
        <v>1493.0</v>
      </c>
      <c r="B506" s="5" t="s">
        <v>522</v>
      </c>
      <c r="C506" s="6" t="s">
        <v>530</v>
      </c>
      <c r="D506" s="4" t="s">
        <v>5</v>
      </c>
      <c r="E506" s="7">
        <v>17343.74</v>
      </c>
    </row>
    <row r="507" ht="15.0" customHeight="1">
      <c r="A507" s="8">
        <v>1491.0</v>
      </c>
      <c r="B507" s="9" t="s">
        <v>522</v>
      </c>
      <c r="C507" s="10" t="s">
        <v>531</v>
      </c>
      <c r="D507" s="8" t="s">
        <v>5</v>
      </c>
      <c r="E507" s="11">
        <v>10443.57</v>
      </c>
    </row>
    <row r="508" ht="15.0" customHeight="1">
      <c r="A508" s="4">
        <v>1732.0</v>
      </c>
      <c r="B508" s="5" t="s">
        <v>522</v>
      </c>
      <c r="C508" s="6" t="s">
        <v>532</v>
      </c>
      <c r="D508" s="4" t="s">
        <v>5</v>
      </c>
      <c r="E508" s="7">
        <v>5621.55</v>
      </c>
    </row>
    <row r="509" ht="15.0" customHeight="1">
      <c r="A509" s="8">
        <v>949.0</v>
      </c>
      <c r="B509" s="9" t="s">
        <v>533</v>
      </c>
      <c r="C509" s="10" t="s">
        <v>534</v>
      </c>
      <c r="D509" s="8" t="s">
        <v>5</v>
      </c>
      <c r="E509" s="11">
        <v>494247.65</v>
      </c>
    </row>
    <row r="510" ht="15.0" customHeight="1">
      <c r="A510" s="4">
        <v>940.0</v>
      </c>
      <c r="B510" s="5" t="s">
        <v>533</v>
      </c>
      <c r="C510" s="6" t="s">
        <v>535</v>
      </c>
      <c r="D510" s="4" t="s">
        <v>5</v>
      </c>
      <c r="E510" s="7">
        <v>5694.58</v>
      </c>
    </row>
    <row r="511" ht="15.0" customHeight="1">
      <c r="A511" s="8">
        <v>941.0</v>
      </c>
      <c r="B511" s="9" t="s">
        <v>533</v>
      </c>
      <c r="C511" s="10" t="s">
        <v>536</v>
      </c>
      <c r="D511" s="8" t="s">
        <v>5</v>
      </c>
      <c r="E511" s="11">
        <v>145300.7</v>
      </c>
    </row>
    <row r="512" ht="15.0" customHeight="1">
      <c r="A512" s="4">
        <v>942.0</v>
      </c>
      <c r="B512" s="5" t="s">
        <v>533</v>
      </c>
      <c r="C512" s="6" t="s">
        <v>537</v>
      </c>
      <c r="D512" s="4" t="s">
        <v>5</v>
      </c>
      <c r="E512" s="7">
        <v>230362.39</v>
      </c>
    </row>
    <row r="513" ht="15.0" customHeight="1">
      <c r="A513" s="8">
        <v>948.0</v>
      </c>
      <c r="B513" s="9" t="s">
        <v>533</v>
      </c>
      <c r="C513" s="10" t="s">
        <v>538</v>
      </c>
      <c r="D513" s="8" t="s">
        <v>5</v>
      </c>
      <c r="E513" s="11">
        <v>17620.99</v>
      </c>
    </row>
    <row r="514" ht="15.0" customHeight="1">
      <c r="A514" s="4">
        <v>944.0</v>
      </c>
      <c r="B514" s="5" t="s">
        <v>533</v>
      </c>
      <c r="C514" s="6" t="s">
        <v>539</v>
      </c>
      <c r="D514" s="4" t="s">
        <v>5</v>
      </c>
      <c r="E514" s="7">
        <v>41903.61</v>
      </c>
    </row>
    <row r="515" ht="15.0" customHeight="1">
      <c r="A515" s="8">
        <v>951.0</v>
      </c>
      <c r="B515" s="9" t="s">
        <v>533</v>
      </c>
      <c r="C515" s="10" t="s">
        <v>540</v>
      </c>
      <c r="D515" s="8" t="s">
        <v>5</v>
      </c>
      <c r="E515" s="11">
        <v>5006.95</v>
      </c>
    </row>
    <row r="516" ht="15.0" customHeight="1">
      <c r="A516" s="4">
        <v>952.0</v>
      </c>
      <c r="B516" s="5" t="s">
        <v>533</v>
      </c>
      <c r="C516" s="6" t="s">
        <v>541</v>
      </c>
      <c r="D516" s="4" t="s">
        <v>5</v>
      </c>
      <c r="E516" s="7">
        <v>14612.57</v>
      </c>
    </row>
    <row r="517" ht="15.0" customHeight="1">
      <c r="A517" s="8">
        <v>943.0</v>
      </c>
      <c r="B517" s="9" t="s">
        <v>533</v>
      </c>
      <c r="C517" s="10" t="s">
        <v>542</v>
      </c>
      <c r="D517" s="8" t="s">
        <v>5</v>
      </c>
      <c r="E517" s="11">
        <v>673666.85</v>
      </c>
    </row>
    <row r="518" ht="15.0" customHeight="1">
      <c r="A518" s="4">
        <v>947.0</v>
      </c>
      <c r="B518" s="5" t="s">
        <v>533</v>
      </c>
      <c r="C518" s="6" t="s">
        <v>543</v>
      </c>
      <c r="D518" s="4" t="s">
        <v>5</v>
      </c>
      <c r="E518" s="7">
        <v>44801.06</v>
      </c>
    </row>
    <row r="519" ht="15.0" customHeight="1">
      <c r="A519" s="8">
        <v>939.0</v>
      </c>
      <c r="B519" s="9" t="s">
        <v>533</v>
      </c>
      <c r="C519" s="10" t="s">
        <v>544</v>
      </c>
      <c r="D519" s="8" t="s">
        <v>5</v>
      </c>
      <c r="E519" s="11">
        <v>157299.67</v>
      </c>
    </row>
    <row r="520" ht="15.0" customHeight="1">
      <c r="A520" s="4">
        <v>946.0</v>
      </c>
      <c r="B520" s="5" t="s">
        <v>533</v>
      </c>
      <c r="C520" s="6" t="s">
        <v>545</v>
      </c>
      <c r="D520" s="4" t="s">
        <v>5</v>
      </c>
      <c r="E520" s="7">
        <v>123561.89</v>
      </c>
    </row>
    <row r="521" ht="15.0" customHeight="1">
      <c r="A521" s="8">
        <v>945.0</v>
      </c>
      <c r="B521" s="9" t="s">
        <v>533</v>
      </c>
      <c r="C521" s="10" t="s">
        <v>546</v>
      </c>
      <c r="D521" s="8" t="s">
        <v>5</v>
      </c>
      <c r="E521" s="11">
        <v>16890.39</v>
      </c>
    </row>
    <row r="522" ht="15.0" customHeight="1">
      <c r="A522" s="4">
        <v>950.0</v>
      </c>
      <c r="B522" s="5" t="s">
        <v>533</v>
      </c>
      <c r="C522" s="6" t="s">
        <v>547</v>
      </c>
      <c r="D522" s="4" t="s">
        <v>5</v>
      </c>
      <c r="E522" s="7">
        <v>182335.26</v>
      </c>
    </row>
    <row r="523" ht="15.0" customHeight="1">
      <c r="A523" s="8">
        <v>953.0</v>
      </c>
      <c r="B523" s="9" t="s">
        <v>548</v>
      </c>
      <c r="C523" s="10" t="s">
        <v>549</v>
      </c>
      <c r="D523" s="8" t="s">
        <v>5</v>
      </c>
      <c r="E523" s="11">
        <v>58854.62</v>
      </c>
    </row>
    <row r="524" ht="15.0" customHeight="1">
      <c r="A524" s="4">
        <v>955.0</v>
      </c>
      <c r="B524" s="5" t="s">
        <v>548</v>
      </c>
      <c r="C524" s="6" t="s">
        <v>550</v>
      </c>
      <c r="D524" s="4" t="s">
        <v>5</v>
      </c>
      <c r="E524" s="7">
        <v>362936.89</v>
      </c>
    </row>
    <row r="525" ht="15.0" customHeight="1">
      <c r="A525" s="8">
        <v>962.0</v>
      </c>
      <c r="B525" s="9" t="s">
        <v>548</v>
      </c>
      <c r="C525" s="10" t="s">
        <v>551</v>
      </c>
      <c r="D525" s="8" t="s">
        <v>5</v>
      </c>
      <c r="E525" s="11">
        <v>88281.95</v>
      </c>
    </row>
    <row r="526" ht="15.0" customHeight="1">
      <c r="A526" s="4">
        <v>956.0</v>
      </c>
      <c r="B526" s="5" t="s">
        <v>548</v>
      </c>
      <c r="C526" s="6" t="s">
        <v>552</v>
      </c>
      <c r="D526" s="4" t="s">
        <v>5</v>
      </c>
      <c r="E526" s="7">
        <v>22560.99</v>
      </c>
    </row>
    <row r="527" ht="15.0" customHeight="1">
      <c r="A527" s="8">
        <v>38.0</v>
      </c>
      <c r="B527" s="9" t="s">
        <v>548</v>
      </c>
      <c r="C527" s="10" t="s">
        <v>553</v>
      </c>
      <c r="D527" s="8" t="s">
        <v>5</v>
      </c>
      <c r="E527" s="11">
        <v>82764.36</v>
      </c>
    </row>
    <row r="528" ht="15.0" customHeight="1">
      <c r="A528" s="4">
        <v>910.0</v>
      </c>
      <c r="B528" s="5" t="s">
        <v>548</v>
      </c>
      <c r="C528" s="6" t="s">
        <v>554</v>
      </c>
      <c r="D528" s="4" t="s">
        <v>5</v>
      </c>
      <c r="E528" s="7">
        <v>100499.58</v>
      </c>
    </row>
    <row r="529" ht="15.0" customHeight="1">
      <c r="A529" s="8">
        <v>961.0</v>
      </c>
      <c r="B529" s="9" t="s">
        <v>548</v>
      </c>
      <c r="C529" s="10" t="s">
        <v>555</v>
      </c>
      <c r="D529" s="8" t="s">
        <v>5</v>
      </c>
      <c r="E529" s="11">
        <v>23541.86</v>
      </c>
    </row>
    <row r="530" ht="15.0" customHeight="1">
      <c r="A530" s="4">
        <v>958.0</v>
      </c>
      <c r="B530" s="5" t="s">
        <v>548</v>
      </c>
      <c r="C530" s="6" t="s">
        <v>556</v>
      </c>
      <c r="D530" s="4" t="s">
        <v>5</v>
      </c>
      <c r="E530" s="7">
        <v>58854.62</v>
      </c>
    </row>
    <row r="531" ht="15.0" customHeight="1">
      <c r="A531" s="8">
        <v>959.0</v>
      </c>
      <c r="B531" s="9" t="s">
        <v>548</v>
      </c>
      <c r="C531" s="10" t="s">
        <v>557</v>
      </c>
      <c r="D531" s="8" t="s">
        <v>5</v>
      </c>
      <c r="E531" s="11">
        <v>66701.9</v>
      </c>
    </row>
    <row r="532" ht="15.0" customHeight="1">
      <c r="A532" s="4">
        <v>960.0</v>
      </c>
      <c r="B532" s="5" t="s">
        <v>548</v>
      </c>
      <c r="C532" s="6" t="s">
        <v>558</v>
      </c>
      <c r="D532" s="4" t="s">
        <v>5</v>
      </c>
      <c r="E532" s="7">
        <v>78472.86</v>
      </c>
    </row>
    <row r="533" ht="15.0" customHeight="1">
      <c r="A533" s="8">
        <v>1725.0</v>
      </c>
      <c r="B533" s="9" t="s">
        <v>548</v>
      </c>
      <c r="C533" s="10" t="s">
        <v>559</v>
      </c>
      <c r="D533" s="8" t="s">
        <v>5</v>
      </c>
      <c r="E533" s="11">
        <v>141881.78</v>
      </c>
    </row>
    <row r="534" ht="15.0" customHeight="1">
      <c r="A534" s="4">
        <v>957.0</v>
      </c>
      <c r="B534" s="5" t="s">
        <v>548</v>
      </c>
      <c r="C534" s="6" t="s">
        <v>560</v>
      </c>
      <c r="D534" s="4" t="s">
        <v>5</v>
      </c>
      <c r="E534" s="7">
        <v>14713.65</v>
      </c>
    </row>
    <row r="535" ht="15.0" customHeight="1">
      <c r="A535" s="8">
        <v>954.0</v>
      </c>
      <c r="B535" s="9" t="s">
        <v>548</v>
      </c>
      <c r="C535" s="10" t="s">
        <v>561</v>
      </c>
      <c r="D535" s="8" t="s">
        <v>5</v>
      </c>
      <c r="E535" s="11">
        <v>18637.28</v>
      </c>
    </row>
    <row r="536" ht="15.0" customHeight="1">
      <c r="A536" s="4">
        <v>1043.0</v>
      </c>
      <c r="B536" s="5" t="s">
        <v>562</v>
      </c>
      <c r="C536" s="6" t="s">
        <v>563</v>
      </c>
      <c r="D536" s="4" t="s">
        <v>76</v>
      </c>
      <c r="E536" s="7">
        <v>801.73</v>
      </c>
    </row>
    <row r="537" ht="15.0" customHeight="1">
      <c r="A537" s="8">
        <v>895.0</v>
      </c>
      <c r="B537" s="9" t="s">
        <v>562</v>
      </c>
      <c r="C537" s="10" t="s">
        <v>564</v>
      </c>
      <c r="D537" s="8" t="s">
        <v>76</v>
      </c>
      <c r="E537" s="11">
        <v>389.61</v>
      </c>
    </row>
    <row r="538" ht="15.0" customHeight="1">
      <c r="A538" s="4">
        <v>9.0</v>
      </c>
      <c r="B538" s="5" t="s">
        <v>562</v>
      </c>
      <c r="C538" s="6" t="s">
        <v>565</v>
      </c>
      <c r="D538" s="4" t="s">
        <v>19</v>
      </c>
      <c r="E538" s="7">
        <v>10212.69</v>
      </c>
    </row>
    <row r="539" ht="15.0" customHeight="1">
      <c r="A539" s="8">
        <v>10.0</v>
      </c>
      <c r="B539" s="9" t="s">
        <v>562</v>
      </c>
      <c r="C539" s="10" t="s">
        <v>566</v>
      </c>
      <c r="D539" s="8" t="s">
        <v>19</v>
      </c>
      <c r="E539" s="11">
        <v>12218.73</v>
      </c>
    </row>
    <row r="540" ht="15.0" customHeight="1">
      <c r="A540" s="4">
        <v>899.0</v>
      </c>
      <c r="B540" s="5" t="s">
        <v>562</v>
      </c>
      <c r="C540" s="6" t="s">
        <v>567</v>
      </c>
      <c r="D540" s="4" t="s">
        <v>76</v>
      </c>
      <c r="E540" s="7">
        <v>11853.99</v>
      </c>
    </row>
    <row r="541" ht="15.0" customHeight="1">
      <c r="A541" s="8">
        <v>1042.0</v>
      </c>
      <c r="B541" s="9" t="s">
        <v>562</v>
      </c>
      <c r="C541" s="10" t="s">
        <v>568</v>
      </c>
      <c r="D541" s="8" t="s">
        <v>76</v>
      </c>
      <c r="E541" s="11">
        <v>14954.29</v>
      </c>
    </row>
    <row r="542" ht="15.0" customHeight="1">
      <c r="A542" s="4">
        <v>843.0</v>
      </c>
      <c r="B542" s="5" t="s">
        <v>562</v>
      </c>
      <c r="C542" s="6" t="s">
        <v>569</v>
      </c>
      <c r="D542" s="4" t="s">
        <v>76</v>
      </c>
      <c r="E542" s="7">
        <v>16880.09</v>
      </c>
    </row>
    <row r="543" ht="15.0" customHeight="1">
      <c r="A543" s="8">
        <v>1032.0</v>
      </c>
      <c r="B543" s="9" t="s">
        <v>562</v>
      </c>
      <c r="C543" s="10" t="s">
        <v>570</v>
      </c>
      <c r="D543" s="8" t="s">
        <v>76</v>
      </c>
      <c r="E543" s="11">
        <v>164438.57</v>
      </c>
    </row>
    <row r="544" ht="15.0" customHeight="1">
      <c r="A544" s="4">
        <v>49.0</v>
      </c>
      <c r="B544" s="5" t="s">
        <v>562</v>
      </c>
      <c r="C544" s="6" t="s">
        <v>571</v>
      </c>
      <c r="D544" s="4" t="s">
        <v>5</v>
      </c>
      <c r="E544" s="7">
        <v>39658.74</v>
      </c>
    </row>
    <row r="545" ht="15.0" customHeight="1">
      <c r="A545" s="8">
        <v>1069.0</v>
      </c>
      <c r="B545" s="9" t="s">
        <v>562</v>
      </c>
      <c r="C545" s="10" t="s">
        <v>572</v>
      </c>
      <c r="D545" s="8" t="s">
        <v>5</v>
      </c>
      <c r="E545" s="11">
        <v>51266.13</v>
      </c>
    </row>
    <row r="546" ht="15.0" customHeight="1">
      <c r="A546" s="4">
        <v>845.0</v>
      </c>
      <c r="B546" s="5" t="s">
        <v>562</v>
      </c>
      <c r="C546" s="6" t="s">
        <v>573</v>
      </c>
      <c r="D546" s="4" t="s">
        <v>5</v>
      </c>
      <c r="E546" s="7">
        <v>677.1</v>
      </c>
    </row>
    <row r="547" ht="15.0" customHeight="1">
      <c r="A547" s="8">
        <v>1027.0</v>
      </c>
      <c r="B547" s="9" t="s">
        <v>562</v>
      </c>
      <c r="C547" s="10" t="s">
        <v>574</v>
      </c>
      <c r="D547" s="8" t="s">
        <v>76</v>
      </c>
      <c r="E547" s="11">
        <v>3230.74</v>
      </c>
    </row>
    <row r="548" ht="15.0" customHeight="1">
      <c r="A548" s="4">
        <v>1685.0</v>
      </c>
      <c r="B548" s="5" t="s">
        <v>562</v>
      </c>
      <c r="C548" s="6" t="s">
        <v>575</v>
      </c>
      <c r="D548" s="4" t="s">
        <v>5</v>
      </c>
      <c r="E548" s="7">
        <v>75957.93</v>
      </c>
    </row>
    <row r="549" ht="15.0" customHeight="1">
      <c r="A549" s="8">
        <v>908.0</v>
      </c>
      <c r="B549" s="9" t="s">
        <v>562</v>
      </c>
      <c r="C549" s="10" t="s">
        <v>576</v>
      </c>
      <c r="D549" s="8" t="s">
        <v>19</v>
      </c>
      <c r="E549" s="11">
        <v>15960.2</v>
      </c>
    </row>
    <row r="550" ht="15.0" customHeight="1">
      <c r="A550" s="4">
        <v>622.0</v>
      </c>
      <c r="B550" s="5" t="s">
        <v>562</v>
      </c>
      <c r="C550" s="6" t="s">
        <v>577</v>
      </c>
      <c r="D550" s="4" t="s">
        <v>19</v>
      </c>
      <c r="E550" s="7">
        <v>121297.64</v>
      </c>
    </row>
    <row r="551" ht="15.0" customHeight="1">
      <c r="A551" s="8">
        <v>11.0</v>
      </c>
      <c r="B551" s="9" t="s">
        <v>562</v>
      </c>
      <c r="C551" s="10" t="s">
        <v>578</v>
      </c>
      <c r="D551" s="8" t="s">
        <v>19</v>
      </c>
      <c r="E551" s="11">
        <v>8512.12</v>
      </c>
    </row>
    <row r="552" ht="15.0" customHeight="1">
      <c r="A552" s="4">
        <v>12.0</v>
      </c>
      <c r="B552" s="5" t="s">
        <v>562</v>
      </c>
      <c r="C552" s="6" t="s">
        <v>579</v>
      </c>
      <c r="D552" s="4" t="s">
        <v>19</v>
      </c>
      <c r="E552" s="7">
        <v>8125.21</v>
      </c>
    </row>
    <row r="553" ht="15.0" customHeight="1">
      <c r="A553" s="8">
        <v>13.0</v>
      </c>
      <c r="B553" s="9" t="s">
        <v>562</v>
      </c>
      <c r="C553" s="10" t="s">
        <v>580</v>
      </c>
      <c r="D553" s="8" t="s">
        <v>19</v>
      </c>
      <c r="E553" s="11">
        <v>7351.39</v>
      </c>
    </row>
    <row r="554" ht="15.0" customHeight="1">
      <c r="A554" s="4">
        <v>52.0</v>
      </c>
      <c r="B554" s="5" t="s">
        <v>562</v>
      </c>
      <c r="C554" s="6" t="s">
        <v>581</v>
      </c>
      <c r="D554" s="4" t="s">
        <v>5</v>
      </c>
      <c r="E554" s="7">
        <v>12574.71</v>
      </c>
    </row>
    <row r="555" ht="15.0" customHeight="1">
      <c r="A555" s="8">
        <v>1044.0</v>
      </c>
      <c r="B555" s="9" t="s">
        <v>562</v>
      </c>
      <c r="C555" s="10" t="s">
        <v>582</v>
      </c>
      <c r="D555" s="8" t="s">
        <v>5</v>
      </c>
      <c r="E555" s="11">
        <v>2805.12</v>
      </c>
    </row>
    <row r="556" ht="15.0" customHeight="1">
      <c r="A556" s="4">
        <v>1068.0</v>
      </c>
      <c r="B556" s="5" t="s">
        <v>562</v>
      </c>
      <c r="C556" s="6" t="s">
        <v>583</v>
      </c>
      <c r="D556" s="4" t="s">
        <v>5</v>
      </c>
      <c r="E556" s="7">
        <v>306629.57</v>
      </c>
    </row>
    <row r="557" ht="15.0" customHeight="1">
      <c r="A557" s="8">
        <v>42.0</v>
      </c>
      <c r="B557" s="9" t="s">
        <v>562</v>
      </c>
      <c r="C557" s="10" t="s">
        <v>584</v>
      </c>
      <c r="D557" s="8" t="s">
        <v>5</v>
      </c>
      <c r="E557" s="11">
        <v>24520.22</v>
      </c>
    </row>
    <row r="558" ht="15.0" customHeight="1">
      <c r="A558" s="4">
        <v>43.0</v>
      </c>
      <c r="B558" s="5" t="s">
        <v>562</v>
      </c>
      <c r="C558" s="6" t="s">
        <v>585</v>
      </c>
      <c r="D558" s="4" t="s">
        <v>5</v>
      </c>
      <c r="E558" s="7">
        <v>35247.83</v>
      </c>
    </row>
    <row r="559" ht="15.0" customHeight="1">
      <c r="A559" s="8">
        <v>44.0</v>
      </c>
      <c r="B559" s="9" t="s">
        <v>562</v>
      </c>
      <c r="C559" s="10" t="s">
        <v>586</v>
      </c>
      <c r="D559" s="8" t="s">
        <v>5</v>
      </c>
      <c r="E559" s="11">
        <v>60619.4</v>
      </c>
    </row>
    <row r="560" ht="15.0" customHeight="1">
      <c r="A560" s="4">
        <v>45.0</v>
      </c>
      <c r="B560" s="5" t="s">
        <v>562</v>
      </c>
      <c r="C560" s="6" t="s">
        <v>587</v>
      </c>
      <c r="D560" s="4" t="s">
        <v>5</v>
      </c>
      <c r="E560" s="7">
        <v>95015.85</v>
      </c>
    </row>
    <row r="561" ht="15.0" customHeight="1">
      <c r="A561" s="8">
        <v>46.0</v>
      </c>
      <c r="B561" s="9" t="s">
        <v>562</v>
      </c>
      <c r="C561" s="10" t="s">
        <v>588</v>
      </c>
      <c r="D561" s="8" t="s">
        <v>5</v>
      </c>
      <c r="E561" s="11">
        <v>147291.56</v>
      </c>
    </row>
    <row r="562" ht="15.0" customHeight="1">
      <c r="A562" s="4">
        <v>39.0</v>
      </c>
      <c r="B562" s="5" t="s">
        <v>562</v>
      </c>
      <c r="C562" s="6" t="s">
        <v>589</v>
      </c>
      <c r="D562" s="4" t="s">
        <v>5</v>
      </c>
      <c r="E562" s="7">
        <v>7662.57</v>
      </c>
    </row>
    <row r="563" ht="15.0" customHeight="1">
      <c r="A563" s="8">
        <v>40.0</v>
      </c>
      <c r="B563" s="9" t="s">
        <v>562</v>
      </c>
      <c r="C563" s="10" t="s">
        <v>590</v>
      </c>
      <c r="D563" s="8" t="s">
        <v>5</v>
      </c>
      <c r="E563" s="11">
        <v>9535.65</v>
      </c>
    </row>
    <row r="564" ht="15.0" customHeight="1">
      <c r="A564" s="4">
        <v>41.0</v>
      </c>
      <c r="B564" s="5" t="s">
        <v>562</v>
      </c>
      <c r="C564" s="6" t="s">
        <v>591</v>
      </c>
      <c r="D564" s="4" t="s">
        <v>5</v>
      </c>
      <c r="E564" s="7">
        <v>15665.68</v>
      </c>
    </row>
    <row r="565" ht="15.0" customHeight="1">
      <c r="A565" s="8">
        <v>1399.0</v>
      </c>
      <c r="B565" s="9" t="s">
        <v>562</v>
      </c>
      <c r="C565" s="10" t="s">
        <v>592</v>
      </c>
      <c r="D565" s="8" t="s">
        <v>22</v>
      </c>
      <c r="E565" s="11">
        <v>8184.02</v>
      </c>
    </row>
    <row r="566" ht="15.0" customHeight="1">
      <c r="A566" s="4">
        <v>615.0</v>
      </c>
      <c r="B566" s="5" t="s">
        <v>562</v>
      </c>
      <c r="C566" s="6" t="s">
        <v>593</v>
      </c>
      <c r="D566" s="4" t="s">
        <v>22</v>
      </c>
      <c r="E566" s="7">
        <v>3187.43</v>
      </c>
    </row>
    <row r="567" ht="15.0" customHeight="1">
      <c r="A567" s="8">
        <v>1400.0</v>
      </c>
      <c r="B567" s="9" t="s">
        <v>562</v>
      </c>
      <c r="C567" s="10" t="s">
        <v>594</v>
      </c>
      <c r="D567" s="8" t="s">
        <v>5</v>
      </c>
      <c r="E567" s="11">
        <v>86160.16</v>
      </c>
    </row>
    <row r="568" ht="15.0" customHeight="1">
      <c r="A568" s="4">
        <v>48.0</v>
      </c>
      <c r="B568" s="5" t="s">
        <v>562</v>
      </c>
      <c r="C568" s="6" t="s">
        <v>595</v>
      </c>
      <c r="D568" s="4" t="s">
        <v>5</v>
      </c>
      <c r="E568" s="7">
        <v>57554.38</v>
      </c>
    </row>
    <row r="569" ht="15.0" customHeight="1">
      <c r="A569" s="8">
        <v>1007.0</v>
      </c>
      <c r="B569" s="9" t="s">
        <v>562</v>
      </c>
      <c r="C569" s="10" t="s">
        <v>596</v>
      </c>
      <c r="D569" s="8" t="s">
        <v>5</v>
      </c>
      <c r="E569" s="11">
        <v>50470.74</v>
      </c>
    </row>
    <row r="570" ht="15.0" customHeight="1">
      <c r="A570" s="4">
        <v>896.0</v>
      </c>
      <c r="B570" s="5" t="s">
        <v>562</v>
      </c>
      <c r="C570" s="6" t="s">
        <v>597</v>
      </c>
      <c r="D570" s="4" t="s">
        <v>5</v>
      </c>
      <c r="E570" s="7">
        <v>120067.33</v>
      </c>
    </row>
    <row r="571" ht="15.0" customHeight="1">
      <c r="A571" s="8">
        <v>47.0</v>
      </c>
      <c r="B571" s="9" t="s">
        <v>562</v>
      </c>
      <c r="C571" s="10" t="s">
        <v>598</v>
      </c>
      <c r="D571" s="8" t="s">
        <v>5</v>
      </c>
      <c r="E571" s="11">
        <v>98108.14</v>
      </c>
    </row>
    <row r="572" ht="15.0" customHeight="1">
      <c r="A572" s="4">
        <v>1498.0</v>
      </c>
      <c r="B572" s="5" t="s">
        <v>562</v>
      </c>
      <c r="C572" s="6" t="s">
        <v>599</v>
      </c>
      <c r="D572" s="4" t="s">
        <v>22</v>
      </c>
      <c r="E572" s="7">
        <v>2394.75</v>
      </c>
    </row>
    <row r="573" ht="15.0" customHeight="1">
      <c r="A573" s="8">
        <v>1609.0</v>
      </c>
      <c r="B573" s="9" t="s">
        <v>562</v>
      </c>
      <c r="C573" s="10" t="s">
        <v>600</v>
      </c>
      <c r="D573" s="8" t="s">
        <v>5</v>
      </c>
      <c r="E573" s="11">
        <v>9738.63</v>
      </c>
    </row>
    <row r="574" ht="15.0" customHeight="1">
      <c r="A574" s="4">
        <v>287.0</v>
      </c>
      <c r="B574" s="5" t="s">
        <v>562</v>
      </c>
      <c r="C574" s="6" t="s">
        <v>601</v>
      </c>
      <c r="D574" s="4" t="s">
        <v>5</v>
      </c>
      <c r="E574" s="7">
        <v>6827.9</v>
      </c>
    </row>
    <row r="575" ht="15.0" customHeight="1">
      <c r="A575" s="8">
        <v>289.0</v>
      </c>
      <c r="B575" s="9" t="s">
        <v>562</v>
      </c>
      <c r="C575" s="10" t="s">
        <v>602</v>
      </c>
      <c r="D575" s="8" t="s">
        <v>5</v>
      </c>
      <c r="E575" s="11">
        <v>8534.88</v>
      </c>
    </row>
    <row r="576" ht="15.0" customHeight="1">
      <c r="A576" s="4">
        <v>1070.0</v>
      </c>
      <c r="B576" s="5" t="s">
        <v>562</v>
      </c>
      <c r="C576" s="6" t="s">
        <v>603</v>
      </c>
      <c r="D576" s="4" t="s">
        <v>5</v>
      </c>
      <c r="E576" s="7">
        <v>72739.89</v>
      </c>
    </row>
    <row r="577" ht="15.0" customHeight="1">
      <c r="A577" s="8">
        <v>1489.0</v>
      </c>
      <c r="B577" s="9" t="s">
        <v>562</v>
      </c>
      <c r="C577" s="10" t="s">
        <v>604</v>
      </c>
      <c r="D577" s="8" t="s">
        <v>22</v>
      </c>
      <c r="E577" s="11">
        <v>0.0</v>
      </c>
    </row>
    <row r="578" ht="15.0" customHeight="1">
      <c r="A578" s="4">
        <v>1686.0</v>
      </c>
      <c r="B578" s="5" t="s">
        <v>562</v>
      </c>
      <c r="C578" s="6" t="s">
        <v>605</v>
      </c>
      <c r="D578" s="4" t="s">
        <v>22</v>
      </c>
      <c r="E578" s="7">
        <v>0.0</v>
      </c>
    </row>
    <row r="579" ht="15.0" customHeight="1">
      <c r="A579" s="8">
        <v>1487.0</v>
      </c>
      <c r="B579" s="9" t="s">
        <v>562</v>
      </c>
      <c r="C579" s="10" t="s">
        <v>606</v>
      </c>
      <c r="D579" s="8" t="s">
        <v>22</v>
      </c>
      <c r="E579" s="11">
        <v>0.0</v>
      </c>
    </row>
    <row r="580" ht="15.0" customHeight="1">
      <c r="A580" s="4">
        <v>1488.0</v>
      </c>
      <c r="B580" s="5" t="s">
        <v>562</v>
      </c>
      <c r="C580" s="6" t="s">
        <v>607</v>
      </c>
      <c r="D580" s="4" t="s">
        <v>22</v>
      </c>
      <c r="E580" s="7">
        <v>0.0</v>
      </c>
    </row>
    <row r="581" ht="15.0" customHeight="1">
      <c r="A581" s="8">
        <v>1478.0</v>
      </c>
      <c r="B581" s="9" t="s">
        <v>562</v>
      </c>
      <c r="C581" s="10" t="s">
        <v>608</v>
      </c>
      <c r="D581" s="8" t="s">
        <v>5</v>
      </c>
      <c r="E581" s="11">
        <v>226953.04</v>
      </c>
    </row>
    <row r="582" ht="15.0" customHeight="1">
      <c r="A582" s="4">
        <v>1479.0</v>
      </c>
      <c r="B582" s="5" t="s">
        <v>562</v>
      </c>
      <c r="C582" s="6" t="s">
        <v>609</v>
      </c>
      <c r="D582" s="4" t="s">
        <v>5</v>
      </c>
      <c r="E582" s="7">
        <v>172171.26</v>
      </c>
    </row>
    <row r="583" ht="15.0" customHeight="1">
      <c r="A583" s="8">
        <v>614.0</v>
      </c>
      <c r="B583" s="9" t="s">
        <v>562</v>
      </c>
      <c r="C583" s="10" t="s">
        <v>610</v>
      </c>
      <c r="D583" s="8" t="s">
        <v>76</v>
      </c>
      <c r="E583" s="11">
        <v>20635.41</v>
      </c>
    </row>
    <row r="584" ht="15.0" customHeight="1">
      <c r="A584" s="4">
        <v>1731.0</v>
      </c>
      <c r="B584" s="5" t="s">
        <v>562</v>
      </c>
      <c r="C584" s="6" t="s">
        <v>611</v>
      </c>
      <c r="D584" s="4" t="s">
        <v>76</v>
      </c>
      <c r="E584" s="7">
        <v>11836.4</v>
      </c>
    </row>
    <row r="585" ht="15.0" customHeight="1">
      <c r="A585" s="8">
        <v>6.0</v>
      </c>
      <c r="B585" s="9" t="s">
        <v>562</v>
      </c>
      <c r="C585" s="10" t="s">
        <v>612</v>
      </c>
      <c r="D585" s="8" t="s">
        <v>5</v>
      </c>
      <c r="E585" s="11">
        <v>256046.25</v>
      </c>
    </row>
    <row r="586" ht="15.0" customHeight="1">
      <c r="A586" s="4">
        <v>1486.0</v>
      </c>
      <c r="B586" s="5" t="s">
        <v>562</v>
      </c>
      <c r="C586" s="6" t="s">
        <v>613</v>
      </c>
      <c r="D586" s="4" t="s">
        <v>5</v>
      </c>
      <c r="E586" s="7">
        <v>162780.1</v>
      </c>
    </row>
    <row r="587" ht="15.0" customHeight="1">
      <c r="A587" s="8">
        <v>7.0</v>
      </c>
      <c r="B587" s="9" t="s">
        <v>562</v>
      </c>
      <c r="C587" s="10" t="s">
        <v>614</v>
      </c>
      <c r="D587" s="8" t="s">
        <v>5</v>
      </c>
      <c r="E587" s="11">
        <v>1784736.88</v>
      </c>
    </row>
    <row r="588" ht="15.0" customHeight="1">
      <c r="A588" s="4">
        <v>8.0</v>
      </c>
      <c r="B588" s="5" t="s">
        <v>562</v>
      </c>
      <c r="C588" s="6" t="s">
        <v>615</v>
      </c>
      <c r="D588" s="4" t="s">
        <v>5</v>
      </c>
      <c r="E588" s="7">
        <v>2217170.49</v>
      </c>
    </row>
    <row r="589" ht="15.0" customHeight="1">
      <c r="A589" s="8">
        <v>5.0</v>
      </c>
      <c r="B589" s="9" t="s">
        <v>562</v>
      </c>
      <c r="C589" s="10" t="s">
        <v>616</v>
      </c>
      <c r="D589" s="8" t="s">
        <v>5</v>
      </c>
      <c r="E589" s="11">
        <v>165007.56</v>
      </c>
    </row>
    <row r="590" ht="15.0" customHeight="1">
      <c r="A590" s="4">
        <v>1030.0</v>
      </c>
      <c r="B590" s="5" t="s">
        <v>562</v>
      </c>
      <c r="C590" s="6" t="s">
        <v>617</v>
      </c>
      <c r="D590" s="4" t="s">
        <v>5</v>
      </c>
      <c r="E590" s="7">
        <v>522.35</v>
      </c>
    </row>
    <row r="591" ht="15.0" customHeight="1">
      <c r="A591" s="8">
        <v>50.0</v>
      </c>
      <c r="B591" s="9" t="s">
        <v>562</v>
      </c>
      <c r="C591" s="10" t="s">
        <v>618</v>
      </c>
      <c r="D591" s="8" t="s">
        <v>5</v>
      </c>
      <c r="E591" s="11">
        <v>19990.58</v>
      </c>
    </row>
    <row r="592" ht="15.0" customHeight="1">
      <c r="A592" s="4">
        <v>51.0</v>
      </c>
      <c r="B592" s="5" t="s">
        <v>562</v>
      </c>
      <c r="C592" s="6" t="s">
        <v>619</v>
      </c>
      <c r="D592" s="4" t="s">
        <v>5</v>
      </c>
      <c r="E592" s="7">
        <v>35258.52</v>
      </c>
    </row>
    <row r="593" ht="15.0" customHeight="1">
      <c r="A593" s="8">
        <v>1047.0</v>
      </c>
      <c r="B593" s="9" t="s">
        <v>562</v>
      </c>
      <c r="C593" s="10" t="s">
        <v>620</v>
      </c>
      <c r="D593" s="8" t="s">
        <v>5</v>
      </c>
      <c r="E593" s="11">
        <v>619062.82</v>
      </c>
    </row>
    <row r="594" ht="15.0" customHeight="1">
      <c r="A594" s="4">
        <v>1045.0</v>
      </c>
      <c r="B594" s="5" t="s">
        <v>562</v>
      </c>
      <c r="C594" s="6" t="s">
        <v>621</v>
      </c>
      <c r="D594" s="4" t="s">
        <v>5</v>
      </c>
      <c r="E594" s="7">
        <v>53200.72</v>
      </c>
    </row>
    <row r="595" ht="15.0" customHeight="1">
      <c r="A595" s="8">
        <v>1029.0</v>
      </c>
      <c r="B595" s="9" t="s">
        <v>562</v>
      </c>
      <c r="C595" s="10" t="s">
        <v>622</v>
      </c>
      <c r="D595" s="8" t="s">
        <v>5</v>
      </c>
      <c r="E595" s="11">
        <v>899.56</v>
      </c>
    </row>
    <row r="596" ht="15.0" customHeight="1">
      <c r="A596" s="4">
        <v>1046.0</v>
      </c>
      <c r="B596" s="5" t="s">
        <v>562</v>
      </c>
      <c r="C596" s="6" t="s">
        <v>623</v>
      </c>
      <c r="D596" s="4" t="s">
        <v>5</v>
      </c>
      <c r="E596" s="7">
        <v>232148.54</v>
      </c>
    </row>
    <row r="597" ht="15.0" customHeight="1">
      <c r="A597" s="8">
        <v>1049.0</v>
      </c>
      <c r="B597" s="9" t="s">
        <v>562</v>
      </c>
      <c r="C597" s="10" t="s">
        <v>624</v>
      </c>
      <c r="D597" s="8" t="s">
        <v>5</v>
      </c>
      <c r="E597" s="11">
        <v>551352.82</v>
      </c>
    </row>
    <row r="598" ht="15.0" customHeight="1">
      <c r="A598" s="4">
        <v>1048.0</v>
      </c>
      <c r="B598" s="5" t="s">
        <v>562</v>
      </c>
      <c r="C598" s="6" t="s">
        <v>625</v>
      </c>
      <c r="D598" s="4" t="s">
        <v>5</v>
      </c>
      <c r="E598" s="7">
        <v>319204.27</v>
      </c>
    </row>
    <row r="599" ht="15.0" customHeight="1">
      <c r="A599" s="8">
        <v>32.0</v>
      </c>
      <c r="B599" s="9" t="s">
        <v>562</v>
      </c>
      <c r="C599" s="10" t="s">
        <v>626</v>
      </c>
      <c r="D599" s="8" t="s">
        <v>76</v>
      </c>
      <c r="E599" s="11">
        <v>9483.19</v>
      </c>
    </row>
    <row r="600" ht="15.0" customHeight="1">
      <c r="A600" s="4">
        <v>36.0</v>
      </c>
      <c r="B600" s="5" t="s">
        <v>562</v>
      </c>
      <c r="C600" s="6" t="s">
        <v>627</v>
      </c>
      <c r="D600" s="4" t="s">
        <v>76</v>
      </c>
      <c r="E600" s="7">
        <v>17069.75</v>
      </c>
    </row>
    <row r="601" ht="15.0" customHeight="1">
      <c r="A601" s="8">
        <v>34.0</v>
      </c>
      <c r="B601" s="9" t="s">
        <v>562</v>
      </c>
      <c r="C601" s="10" t="s">
        <v>628</v>
      </c>
      <c r="D601" s="8" t="s">
        <v>76</v>
      </c>
      <c r="E601" s="11">
        <v>11379.84</v>
      </c>
    </row>
    <row r="602" ht="15.0" customHeight="1">
      <c r="A602" s="4">
        <v>35.0</v>
      </c>
      <c r="B602" s="5" t="s">
        <v>562</v>
      </c>
      <c r="C602" s="6" t="s">
        <v>629</v>
      </c>
      <c r="D602" s="4" t="s">
        <v>76</v>
      </c>
      <c r="E602" s="7">
        <v>13276.47</v>
      </c>
    </row>
    <row r="603" ht="15.0" customHeight="1">
      <c r="A603" s="8">
        <v>33.0</v>
      </c>
      <c r="B603" s="9" t="s">
        <v>562</v>
      </c>
      <c r="C603" s="10" t="s">
        <v>630</v>
      </c>
      <c r="D603" s="8" t="s">
        <v>76</v>
      </c>
      <c r="E603" s="11">
        <v>11379.84</v>
      </c>
    </row>
    <row r="604" ht="15.0" customHeight="1">
      <c r="A604" s="4">
        <v>1026.0</v>
      </c>
      <c r="B604" s="5" t="s">
        <v>562</v>
      </c>
      <c r="C604" s="6" t="s">
        <v>631</v>
      </c>
      <c r="D604" s="4" t="s">
        <v>5</v>
      </c>
      <c r="E604" s="7">
        <v>20312.99</v>
      </c>
    </row>
    <row r="605" ht="15.0" customHeight="1">
      <c r="A605" s="8">
        <v>1034.0</v>
      </c>
      <c r="B605" s="9" t="s">
        <v>562</v>
      </c>
      <c r="C605" s="10" t="s">
        <v>632</v>
      </c>
      <c r="D605" s="8" t="s">
        <v>5</v>
      </c>
      <c r="E605" s="11">
        <v>6771.02</v>
      </c>
    </row>
    <row r="606" ht="15.0" customHeight="1">
      <c r="A606" s="4">
        <v>56.0</v>
      </c>
      <c r="B606" s="5" t="s">
        <v>562</v>
      </c>
      <c r="C606" s="6" t="s">
        <v>633</v>
      </c>
      <c r="D606" s="4" t="s">
        <v>5</v>
      </c>
      <c r="E606" s="7">
        <v>2128.01</v>
      </c>
    </row>
    <row r="607" ht="15.0" customHeight="1">
      <c r="A607" s="8">
        <v>55.0</v>
      </c>
      <c r="B607" s="9" t="s">
        <v>562</v>
      </c>
      <c r="C607" s="10" t="s">
        <v>634</v>
      </c>
      <c r="D607" s="8" t="s">
        <v>5</v>
      </c>
      <c r="E607" s="11">
        <v>8705.58</v>
      </c>
    </row>
    <row r="608" ht="15.0" customHeight="1">
      <c r="A608" s="4">
        <v>53.0</v>
      </c>
      <c r="B608" s="5" t="s">
        <v>562</v>
      </c>
      <c r="C608" s="6" t="s">
        <v>635</v>
      </c>
      <c r="D608" s="4" t="s">
        <v>5</v>
      </c>
      <c r="E608" s="7">
        <v>10156.5</v>
      </c>
    </row>
    <row r="609" ht="15.0" customHeight="1">
      <c r="A609" s="8">
        <v>54.0</v>
      </c>
      <c r="B609" s="9" t="s">
        <v>562</v>
      </c>
      <c r="C609" s="10" t="s">
        <v>636</v>
      </c>
      <c r="D609" s="8" t="s">
        <v>5</v>
      </c>
      <c r="E609" s="11">
        <v>15476.54</v>
      </c>
    </row>
    <row r="610" ht="15.0" customHeight="1">
      <c r="A610" s="4">
        <v>1028.0</v>
      </c>
      <c r="B610" s="5" t="s">
        <v>562</v>
      </c>
      <c r="C610" s="6" t="s">
        <v>637</v>
      </c>
      <c r="D610" s="4" t="s">
        <v>5</v>
      </c>
      <c r="E610" s="7">
        <v>4256.06</v>
      </c>
    </row>
    <row r="611" ht="15.0" customHeight="1">
      <c r="A611" s="8">
        <v>1022.0</v>
      </c>
      <c r="B611" s="9" t="s">
        <v>562</v>
      </c>
      <c r="C611" s="10" t="s">
        <v>638</v>
      </c>
      <c r="D611" s="8" t="s">
        <v>5</v>
      </c>
      <c r="E611" s="11">
        <v>212.81</v>
      </c>
    </row>
    <row r="612" ht="15.0" customHeight="1">
      <c r="A612" s="4">
        <v>877.0</v>
      </c>
      <c r="B612" s="5" t="s">
        <v>562</v>
      </c>
      <c r="C612" s="6" t="s">
        <v>639</v>
      </c>
      <c r="D612" s="4" t="s">
        <v>5</v>
      </c>
      <c r="E612" s="7">
        <v>203.16</v>
      </c>
    </row>
    <row r="613" ht="15.0" customHeight="1">
      <c r="A613" s="8">
        <v>1031.0</v>
      </c>
      <c r="B613" s="9" t="s">
        <v>562</v>
      </c>
      <c r="C613" s="10" t="s">
        <v>640</v>
      </c>
      <c r="D613" s="8" t="s">
        <v>5</v>
      </c>
      <c r="E613" s="11">
        <v>49.36</v>
      </c>
    </row>
    <row r="614" ht="15.0" customHeight="1">
      <c r="A614" s="4">
        <v>613.0</v>
      </c>
      <c r="B614" s="5" t="s">
        <v>562</v>
      </c>
      <c r="C614" s="6" t="s">
        <v>641</v>
      </c>
      <c r="D614" s="4" t="s">
        <v>5</v>
      </c>
      <c r="E614" s="7">
        <v>262.12</v>
      </c>
    </row>
    <row r="615" ht="15.0" customHeight="1">
      <c r="A615" s="8">
        <v>617.0</v>
      </c>
      <c r="B615" s="9" t="s">
        <v>562</v>
      </c>
      <c r="C615" s="10" t="s">
        <v>642</v>
      </c>
      <c r="D615" s="8" t="s">
        <v>5</v>
      </c>
      <c r="E615" s="11">
        <v>281.47</v>
      </c>
    </row>
    <row r="616" ht="15.0" customHeight="1">
      <c r="A616" s="4">
        <v>628.0</v>
      </c>
      <c r="B616" s="5" t="s">
        <v>562</v>
      </c>
      <c r="C616" s="6" t="s">
        <v>643</v>
      </c>
      <c r="D616" s="4" t="s">
        <v>5</v>
      </c>
      <c r="E616" s="7">
        <v>51.64</v>
      </c>
    </row>
    <row r="617" ht="15.0" customHeight="1">
      <c r="A617" s="8">
        <v>865.0</v>
      </c>
      <c r="B617" s="9" t="s">
        <v>562</v>
      </c>
      <c r="C617" s="10" t="s">
        <v>644</v>
      </c>
      <c r="D617" s="8" t="s">
        <v>5</v>
      </c>
      <c r="E617" s="11">
        <v>51.64</v>
      </c>
    </row>
    <row r="618" ht="15.0" customHeight="1">
      <c r="A618" s="4">
        <v>629.0</v>
      </c>
      <c r="B618" s="5" t="s">
        <v>562</v>
      </c>
      <c r="C618" s="6" t="s">
        <v>645</v>
      </c>
      <c r="D618" s="4" t="s">
        <v>5</v>
      </c>
      <c r="E618" s="7">
        <v>28.6</v>
      </c>
    </row>
    <row r="619" ht="15.0" customHeight="1">
      <c r="A619" s="8">
        <v>866.0</v>
      </c>
      <c r="B619" s="9" t="s">
        <v>562</v>
      </c>
      <c r="C619" s="10" t="s">
        <v>646</v>
      </c>
      <c r="D619" s="8" t="s">
        <v>5</v>
      </c>
      <c r="E619" s="11">
        <v>28.6</v>
      </c>
    </row>
    <row r="620" ht="15.0" customHeight="1">
      <c r="A620" s="4">
        <v>879.0</v>
      </c>
      <c r="B620" s="5" t="s">
        <v>562</v>
      </c>
      <c r="C620" s="6" t="s">
        <v>647</v>
      </c>
      <c r="D620" s="4" t="s">
        <v>5</v>
      </c>
      <c r="E620" s="7">
        <v>28.6</v>
      </c>
    </row>
    <row r="621" ht="15.0" customHeight="1">
      <c r="A621" s="8">
        <v>867.0</v>
      </c>
      <c r="B621" s="9" t="s">
        <v>562</v>
      </c>
      <c r="C621" s="10" t="s">
        <v>648</v>
      </c>
      <c r="D621" s="8" t="s">
        <v>5</v>
      </c>
      <c r="E621" s="11">
        <v>63.64</v>
      </c>
    </row>
    <row r="622" ht="15.0" customHeight="1">
      <c r="A622" s="4">
        <v>1040.0</v>
      </c>
      <c r="B622" s="5" t="s">
        <v>562</v>
      </c>
      <c r="C622" s="6" t="s">
        <v>649</v>
      </c>
      <c r="D622" s="4" t="s">
        <v>5</v>
      </c>
      <c r="E622" s="7">
        <v>121.32</v>
      </c>
    </row>
    <row r="623" ht="15.0" customHeight="1">
      <c r="A623" s="8">
        <v>623.0</v>
      </c>
      <c r="B623" s="9" t="s">
        <v>562</v>
      </c>
      <c r="C623" s="10" t="s">
        <v>650</v>
      </c>
      <c r="D623" s="8" t="s">
        <v>5</v>
      </c>
      <c r="E623" s="11">
        <v>197.33</v>
      </c>
    </row>
    <row r="624" ht="15.0" customHeight="1">
      <c r="A624" s="4">
        <v>901.0</v>
      </c>
      <c r="B624" s="5" t="s">
        <v>562</v>
      </c>
      <c r="C624" s="6" t="s">
        <v>651</v>
      </c>
      <c r="D624" s="4" t="s">
        <v>5</v>
      </c>
      <c r="E624" s="7">
        <v>4410.81</v>
      </c>
    </row>
    <row r="625" ht="15.0" customHeight="1">
      <c r="A625" s="8">
        <v>844.0</v>
      </c>
      <c r="B625" s="9" t="s">
        <v>562</v>
      </c>
      <c r="C625" s="10" t="s">
        <v>652</v>
      </c>
      <c r="D625" s="8" t="s">
        <v>76</v>
      </c>
      <c r="E625" s="11">
        <v>22247.57</v>
      </c>
    </row>
    <row r="626" ht="15.0" customHeight="1">
      <c r="A626" s="4">
        <v>427.0</v>
      </c>
      <c r="B626" s="5" t="s">
        <v>653</v>
      </c>
      <c r="C626" s="6" t="s">
        <v>654</v>
      </c>
      <c r="D626" s="4" t="s">
        <v>5</v>
      </c>
      <c r="E626" s="7">
        <v>26523.52</v>
      </c>
    </row>
    <row r="627" ht="15.0" customHeight="1">
      <c r="A627" s="8">
        <v>986.0</v>
      </c>
      <c r="B627" s="9" t="s">
        <v>653</v>
      </c>
      <c r="C627" s="10" t="s">
        <v>655</v>
      </c>
      <c r="D627" s="8" t="s">
        <v>5</v>
      </c>
      <c r="E627" s="11">
        <v>5252.7</v>
      </c>
    </row>
    <row r="628" ht="15.0" customHeight="1">
      <c r="A628" s="4">
        <v>1432.0</v>
      </c>
      <c r="B628" s="5" t="s">
        <v>653</v>
      </c>
      <c r="C628" s="6" t="s">
        <v>656</v>
      </c>
      <c r="D628" s="4" t="s">
        <v>5</v>
      </c>
      <c r="E628" s="7">
        <v>37497.86</v>
      </c>
    </row>
    <row r="629" ht="15.0" customHeight="1">
      <c r="A629" s="8">
        <v>1720.0</v>
      </c>
      <c r="B629" s="9" t="s">
        <v>653</v>
      </c>
      <c r="C629" s="10" t="s">
        <v>657</v>
      </c>
      <c r="D629" s="8" t="s">
        <v>5</v>
      </c>
      <c r="E629" s="11">
        <v>15770.81</v>
      </c>
    </row>
    <row r="630" ht="15.0" customHeight="1">
      <c r="A630" s="4">
        <v>964.0</v>
      </c>
      <c r="B630" s="5" t="s">
        <v>653</v>
      </c>
      <c r="C630" s="6" t="s">
        <v>658</v>
      </c>
      <c r="D630" s="4" t="s">
        <v>5</v>
      </c>
      <c r="E630" s="7">
        <v>30465.66</v>
      </c>
    </row>
    <row r="631" ht="15.0" customHeight="1">
      <c r="A631" s="8">
        <v>532.0</v>
      </c>
      <c r="B631" s="9" t="s">
        <v>653</v>
      </c>
      <c r="C631" s="10" t="s">
        <v>659</v>
      </c>
      <c r="D631" s="8" t="s">
        <v>5</v>
      </c>
      <c r="E631" s="11">
        <v>38869.95</v>
      </c>
    </row>
    <row r="632" ht="15.0" customHeight="1">
      <c r="A632" s="4">
        <v>415.0</v>
      </c>
      <c r="B632" s="5" t="s">
        <v>653</v>
      </c>
      <c r="C632" s="6" t="s">
        <v>660</v>
      </c>
      <c r="D632" s="4" t="s">
        <v>5</v>
      </c>
      <c r="E632" s="7">
        <v>6093.15</v>
      </c>
    </row>
    <row r="633" ht="15.0" customHeight="1">
      <c r="A633" s="8">
        <v>758.0</v>
      </c>
      <c r="B633" s="9" t="s">
        <v>653</v>
      </c>
      <c r="C633" s="10" t="s">
        <v>661</v>
      </c>
      <c r="D633" s="8" t="s">
        <v>5</v>
      </c>
      <c r="E633" s="11">
        <v>5567.83</v>
      </c>
    </row>
    <row r="634" ht="15.0" customHeight="1">
      <c r="A634" s="4">
        <v>416.0</v>
      </c>
      <c r="B634" s="5" t="s">
        <v>653</v>
      </c>
      <c r="C634" s="6" t="s">
        <v>662</v>
      </c>
      <c r="D634" s="4" t="s">
        <v>5</v>
      </c>
      <c r="E634" s="7">
        <v>5147.63</v>
      </c>
    </row>
    <row r="635" ht="15.0" customHeight="1">
      <c r="A635" s="8">
        <v>746.0</v>
      </c>
      <c r="B635" s="9" t="s">
        <v>653</v>
      </c>
      <c r="C635" s="10" t="s">
        <v>663</v>
      </c>
      <c r="D635" s="8" t="s">
        <v>5</v>
      </c>
      <c r="E635" s="11">
        <v>159682.0</v>
      </c>
    </row>
    <row r="636" ht="15.0" customHeight="1">
      <c r="A636" s="4">
        <v>748.0</v>
      </c>
      <c r="B636" s="5" t="s">
        <v>653</v>
      </c>
      <c r="C636" s="6" t="s">
        <v>664</v>
      </c>
      <c r="D636" s="4" t="s">
        <v>5</v>
      </c>
      <c r="E636" s="7">
        <v>115559.37</v>
      </c>
    </row>
    <row r="637" ht="15.0" customHeight="1">
      <c r="A637" s="8">
        <v>747.0</v>
      </c>
      <c r="B637" s="9" t="s">
        <v>653</v>
      </c>
      <c r="C637" s="10" t="s">
        <v>665</v>
      </c>
      <c r="D637" s="8" t="s">
        <v>5</v>
      </c>
      <c r="E637" s="11">
        <v>136570.13</v>
      </c>
    </row>
    <row r="638" ht="15.0" customHeight="1">
      <c r="A638" s="4">
        <v>753.0</v>
      </c>
      <c r="B638" s="5" t="s">
        <v>653</v>
      </c>
      <c r="C638" s="6" t="s">
        <v>666</v>
      </c>
      <c r="D638" s="4" t="s">
        <v>5</v>
      </c>
      <c r="E638" s="7">
        <v>10715.5</v>
      </c>
    </row>
    <row r="639" ht="15.0" customHeight="1">
      <c r="A639" s="8">
        <v>751.0</v>
      </c>
      <c r="B639" s="9" t="s">
        <v>653</v>
      </c>
      <c r="C639" s="10" t="s">
        <v>667</v>
      </c>
      <c r="D639" s="8" t="s">
        <v>5</v>
      </c>
      <c r="E639" s="11">
        <v>5672.9</v>
      </c>
    </row>
    <row r="640" ht="15.0" customHeight="1">
      <c r="A640" s="4">
        <v>752.0</v>
      </c>
      <c r="B640" s="5" t="s">
        <v>653</v>
      </c>
      <c r="C640" s="6" t="s">
        <v>668</v>
      </c>
      <c r="D640" s="4" t="s">
        <v>5</v>
      </c>
      <c r="E640" s="7">
        <v>6723.48</v>
      </c>
    </row>
    <row r="641" ht="15.0" customHeight="1">
      <c r="A641" s="8">
        <v>749.0</v>
      </c>
      <c r="B641" s="9" t="s">
        <v>653</v>
      </c>
      <c r="C641" s="10" t="s">
        <v>669</v>
      </c>
      <c r="D641" s="8" t="s">
        <v>5</v>
      </c>
      <c r="E641" s="11">
        <v>10925.6</v>
      </c>
    </row>
    <row r="642" ht="15.0" customHeight="1">
      <c r="A642" s="4">
        <v>1035.0</v>
      </c>
      <c r="B642" s="5" t="s">
        <v>653</v>
      </c>
      <c r="C642" s="6" t="s">
        <v>670</v>
      </c>
      <c r="D642" s="4" t="s">
        <v>5</v>
      </c>
      <c r="E642" s="7">
        <v>5883.05</v>
      </c>
    </row>
    <row r="643" ht="15.0" customHeight="1">
      <c r="A643" s="8">
        <v>534.0</v>
      </c>
      <c r="B643" s="9" t="s">
        <v>653</v>
      </c>
      <c r="C643" s="10" t="s">
        <v>671</v>
      </c>
      <c r="D643" s="8" t="s">
        <v>5</v>
      </c>
      <c r="E643" s="11">
        <v>4622.37</v>
      </c>
    </row>
    <row r="644" ht="15.0" customHeight="1">
      <c r="A644" s="4">
        <v>533.0</v>
      </c>
      <c r="B644" s="5" t="s">
        <v>653</v>
      </c>
      <c r="C644" s="6" t="s">
        <v>672</v>
      </c>
      <c r="D644" s="4" t="s">
        <v>5</v>
      </c>
      <c r="E644" s="7">
        <v>5252.7</v>
      </c>
    </row>
    <row r="645" ht="15.0" customHeight="1">
      <c r="A645" s="8">
        <v>413.0</v>
      </c>
      <c r="B645" s="9" t="s">
        <v>653</v>
      </c>
      <c r="C645" s="10" t="s">
        <v>673</v>
      </c>
      <c r="D645" s="8" t="s">
        <v>5</v>
      </c>
      <c r="E645" s="11">
        <v>13657.04</v>
      </c>
    </row>
    <row r="646" ht="15.0" customHeight="1">
      <c r="A646" s="4">
        <v>414.0</v>
      </c>
      <c r="B646" s="5" t="s">
        <v>653</v>
      </c>
      <c r="C646" s="6" t="s">
        <v>674</v>
      </c>
      <c r="D646" s="4" t="s">
        <v>5</v>
      </c>
      <c r="E646" s="7">
        <v>6093.15</v>
      </c>
    </row>
    <row r="647" ht="15.0" customHeight="1">
      <c r="A647" s="8">
        <v>934.0</v>
      </c>
      <c r="B647" s="9" t="s">
        <v>653</v>
      </c>
      <c r="C647" s="10" t="s">
        <v>675</v>
      </c>
      <c r="D647" s="8" t="s">
        <v>5</v>
      </c>
      <c r="E647" s="11">
        <v>7143.66</v>
      </c>
    </row>
    <row r="648" ht="15.0" customHeight="1">
      <c r="A648" s="4">
        <v>750.0</v>
      </c>
      <c r="B648" s="5" t="s">
        <v>653</v>
      </c>
      <c r="C648" s="6" t="s">
        <v>676</v>
      </c>
      <c r="D648" s="4" t="s">
        <v>5</v>
      </c>
      <c r="E648" s="7">
        <v>8614.44</v>
      </c>
    </row>
    <row r="649" ht="15.0" customHeight="1">
      <c r="A649" s="8">
        <v>754.0</v>
      </c>
      <c r="B649" s="9" t="s">
        <v>653</v>
      </c>
      <c r="C649" s="10" t="s">
        <v>677</v>
      </c>
      <c r="D649" s="8" t="s">
        <v>5</v>
      </c>
      <c r="E649" s="11">
        <v>9244.74</v>
      </c>
    </row>
    <row r="650" ht="15.0" customHeight="1">
      <c r="A650" s="4">
        <v>755.0</v>
      </c>
      <c r="B650" s="5" t="s">
        <v>653</v>
      </c>
      <c r="C650" s="6" t="s">
        <v>678</v>
      </c>
      <c r="D650" s="4" t="s">
        <v>5</v>
      </c>
      <c r="E650" s="7">
        <v>7984.11</v>
      </c>
    </row>
    <row r="651" ht="15.0" customHeight="1">
      <c r="A651" s="8">
        <v>1436.0</v>
      </c>
      <c r="B651" s="9" t="s">
        <v>653</v>
      </c>
      <c r="C651" s="10" t="s">
        <v>679</v>
      </c>
      <c r="D651" s="8" t="s">
        <v>5</v>
      </c>
      <c r="E651" s="11">
        <v>152875.82</v>
      </c>
    </row>
    <row r="652" ht="15.0" customHeight="1">
      <c r="A652" s="4">
        <v>785.0</v>
      </c>
      <c r="B652" s="5" t="s">
        <v>653</v>
      </c>
      <c r="C652" s="6" t="s">
        <v>680</v>
      </c>
      <c r="D652" s="4" t="s">
        <v>5</v>
      </c>
      <c r="E652" s="7">
        <v>109256.12</v>
      </c>
    </row>
    <row r="653" ht="15.0" customHeight="1">
      <c r="A653" s="8">
        <v>531.0</v>
      </c>
      <c r="B653" s="9" t="s">
        <v>653</v>
      </c>
      <c r="C653" s="10" t="s">
        <v>681</v>
      </c>
      <c r="D653" s="8" t="s">
        <v>5</v>
      </c>
      <c r="E653" s="11">
        <v>7984.11</v>
      </c>
    </row>
    <row r="654" ht="15.0" customHeight="1">
      <c r="A654" s="4">
        <v>557.0</v>
      </c>
      <c r="B654" s="5" t="s">
        <v>653</v>
      </c>
      <c r="C654" s="6" t="s">
        <v>682</v>
      </c>
      <c r="D654" s="4" t="s">
        <v>5</v>
      </c>
      <c r="E654" s="7">
        <v>11555.95</v>
      </c>
    </row>
    <row r="655" ht="15.0" customHeight="1">
      <c r="A655" s="8">
        <v>558.0</v>
      </c>
      <c r="B655" s="9" t="s">
        <v>653</v>
      </c>
      <c r="C655" s="10" t="s">
        <v>683</v>
      </c>
      <c r="D655" s="8" t="s">
        <v>5</v>
      </c>
      <c r="E655" s="11">
        <v>14077.24</v>
      </c>
    </row>
    <row r="656" ht="15.0" customHeight="1">
      <c r="A656" s="4">
        <v>997.0</v>
      </c>
      <c r="B656" s="5" t="s">
        <v>653</v>
      </c>
      <c r="C656" s="6" t="s">
        <v>684</v>
      </c>
      <c r="D656" s="4" t="s">
        <v>5</v>
      </c>
      <c r="E656" s="7">
        <v>262634.89</v>
      </c>
    </row>
    <row r="657" ht="15.0" customHeight="1">
      <c r="A657" s="8">
        <v>530.0</v>
      </c>
      <c r="B657" s="9" t="s">
        <v>653</v>
      </c>
      <c r="C657" s="10" t="s">
        <v>685</v>
      </c>
      <c r="D657" s="8" t="s">
        <v>5</v>
      </c>
      <c r="E657" s="11">
        <v>15758.1</v>
      </c>
    </row>
    <row r="658" ht="15.0" customHeight="1">
      <c r="A658" s="4">
        <v>561.0</v>
      </c>
      <c r="B658" s="5" t="s">
        <v>653</v>
      </c>
      <c r="C658" s="6" t="s">
        <v>686</v>
      </c>
      <c r="D658" s="4" t="s">
        <v>5</v>
      </c>
      <c r="E658" s="7">
        <v>44542.9</v>
      </c>
    </row>
    <row r="659" ht="15.0" customHeight="1">
      <c r="A659" s="8">
        <v>757.0</v>
      </c>
      <c r="B659" s="9" t="s">
        <v>653</v>
      </c>
      <c r="C659" s="10" t="s">
        <v>687</v>
      </c>
      <c r="D659" s="8" t="s">
        <v>5</v>
      </c>
      <c r="E659" s="11">
        <v>26893.82</v>
      </c>
    </row>
    <row r="660" ht="15.0" customHeight="1">
      <c r="A660" s="4">
        <v>756.0</v>
      </c>
      <c r="B660" s="5" t="s">
        <v>653</v>
      </c>
      <c r="C660" s="6" t="s">
        <v>688</v>
      </c>
      <c r="D660" s="4" t="s">
        <v>5</v>
      </c>
      <c r="E660" s="7">
        <v>29205.0</v>
      </c>
    </row>
    <row r="661" ht="15.0" customHeight="1">
      <c r="A661" s="8">
        <v>511.0</v>
      </c>
      <c r="B661" s="9" t="s">
        <v>653</v>
      </c>
      <c r="C661" s="10" t="s">
        <v>689</v>
      </c>
      <c r="D661" s="8" t="s">
        <v>5</v>
      </c>
      <c r="E661" s="11">
        <v>36768.89</v>
      </c>
    </row>
    <row r="662" ht="15.0" customHeight="1">
      <c r="A662" s="4">
        <v>512.0</v>
      </c>
      <c r="B662" s="5" t="s">
        <v>653</v>
      </c>
      <c r="C662" s="6" t="s">
        <v>690</v>
      </c>
      <c r="D662" s="4" t="s">
        <v>5</v>
      </c>
      <c r="E662" s="7">
        <v>38659.89</v>
      </c>
    </row>
    <row r="663" ht="15.0" customHeight="1">
      <c r="A663" s="8">
        <v>560.0</v>
      </c>
      <c r="B663" s="9" t="s">
        <v>653</v>
      </c>
      <c r="C663" s="10" t="s">
        <v>691</v>
      </c>
      <c r="D663" s="8" t="s">
        <v>76</v>
      </c>
      <c r="E663" s="11">
        <v>1638.84</v>
      </c>
    </row>
    <row r="664" ht="15.0" customHeight="1">
      <c r="A664" s="4">
        <v>1430.0</v>
      </c>
      <c r="B664" s="5" t="s">
        <v>653</v>
      </c>
      <c r="C664" s="6" t="s">
        <v>692</v>
      </c>
      <c r="D664" s="4" t="s">
        <v>5</v>
      </c>
      <c r="E664" s="7">
        <v>108455.29</v>
      </c>
    </row>
    <row r="665" ht="15.0" customHeight="1">
      <c r="A665" s="8">
        <v>563.0</v>
      </c>
      <c r="B665" s="9" t="s">
        <v>653</v>
      </c>
      <c r="C665" s="10" t="s">
        <v>693</v>
      </c>
      <c r="D665" s="8" t="s">
        <v>5</v>
      </c>
      <c r="E665" s="11">
        <v>44122.68</v>
      </c>
    </row>
    <row r="666" ht="15.0" customHeight="1">
      <c r="A666" s="4">
        <v>529.0</v>
      </c>
      <c r="B666" s="5" t="s">
        <v>653</v>
      </c>
      <c r="C666" s="6" t="s">
        <v>694</v>
      </c>
      <c r="D666" s="4" t="s">
        <v>5</v>
      </c>
      <c r="E666" s="7">
        <v>89295.89</v>
      </c>
    </row>
    <row r="667" ht="15.0" customHeight="1">
      <c r="A667" s="8">
        <v>562.0</v>
      </c>
      <c r="B667" s="9" t="s">
        <v>653</v>
      </c>
      <c r="C667" s="10" t="s">
        <v>695</v>
      </c>
      <c r="D667" s="8" t="s">
        <v>5</v>
      </c>
      <c r="E667" s="11">
        <v>72303.97</v>
      </c>
    </row>
    <row r="668" ht="15.0" customHeight="1">
      <c r="A668" s="4">
        <v>528.0</v>
      </c>
      <c r="B668" s="5" t="s">
        <v>653</v>
      </c>
      <c r="C668" s="6" t="s">
        <v>696</v>
      </c>
      <c r="D668" s="4" t="s">
        <v>5</v>
      </c>
      <c r="E668" s="7">
        <v>101829.04</v>
      </c>
    </row>
    <row r="669" ht="15.0" customHeight="1">
      <c r="A669" s="8">
        <v>407.0</v>
      </c>
      <c r="B669" s="9" t="s">
        <v>653</v>
      </c>
      <c r="C669" s="10" t="s">
        <v>697</v>
      </c>
      <c r="D669" s="8" t="s">
        <v>5</v>
      </c>
      <c r="E669" s="11">
        <v>4412.27</v>
      </c>
    </row>
    <row r="670" ht="15.0" customHeight="1">
      <c r="A670" s="4">
        <v>1449.0</v>
      </c>
      <c r="B670" s="5" t="s">
        <v>653</v>
      </c>
      <c r="C670" s="6" t="s">
        <v>698</v>
      </c>
      <c r="D670" s="4" t="s">
        <v>5</v>
      </c>
      <c r="E670" s="7">
        <v>9230.23</v>
      </c>
    </row>
    <row r="671" ht="15.0" customHeight="1">
      <c r="A671" s="8">
        <v>1450.0</v>
      </c>
      <c r="B671" s="9" t="s">
        <v>653</v>
      </c>
      <c r="C671" s="10" t="s">
        <v>699</v>
      </c>
      <c r="D671" s="8" t="s">
        <v>5</v>
      </c>
      <c r="E671" s="11">
        <v>12499.3</v>
      </c>
    </row>
    <row r="672" ht="15.0" customHeight="1">
      <c r="A672" s="4">
        <v>426.0</v>
      </c>
      <c r="B672" s="5" t="s">
        <v>653</v>
      </c>
      <c r="C672" s="6" t="s">
        <v>700</v>
      </c>
      <c r="D672" s="4" t="s">
        <v>5</v>
      </c>
      <c r="E672" s="7">
        <v>24613.87</v>
      </c>
    </row>
    <row r="673" ht="15.0" customHeight="1">
      <c r="A673" s="8">
        <v>759.0</v>
      </c>
      <c r="B673" s="9" t="s">
        <v>653</v>
      </c>
      <c r="C673" s="10" t="s">
        <v>701</v>
      </c>
      <c r="D673" s="8" t="s">
        <v>5</v>
      </c>
      <c r="E673" s="11">
        <v>16388.41</v>
      </c>
    </row>
    <row r="674" ht="15.0" customHeight="1">
      <c r="A674" s="4">
        <v>996.0</v>
      </c>
      <c r="B674" s="5" t="s">
        <v>653</v>
      </c>
      <c r="C674" s="6" t="s">
        <v>702</v>
      </c>
      <c r="D674" s="4" t="s">
        <v>5</v>
      </c>
      <c r="E674" s="7">
        <v>11345.84</v>
      </c>
    </row>
    <row r="675" ht="15.0" customHeight="1">
      <c r="A675" s="8">
        <v>995.0</v>
      </c>
      <c r="B675" s="9" t="s">
        <v>653</v>
      </c>
      <c r="C675" s="10" t="s">
        <v>703</v>
      </c>
      <c r="D675" s="8" t="s">
        <v>5</v>
      </c>
      <c r="E675" s="11">
        <v>21851.21</v>
      </c>
    </row>
    <row r="676" ht="15.0" customHeight="1">
      <c r="A676" s="4">
        <v>763.0</v>
      </c>
      <c r="B676" s="5" t="s">
        <v>653</v>
      </c>
      <c r="C676" s="6" t="s">
        <v>704</v>
      </c>
      <c r="D676" s="4" t="s">
        <v>5</v>
      </c>
      <c r="E676" s="7">
        <v>6093.15</v>
      </c>
    </row>
    <row r="677" ht="15.0" customHeight="1">
      <c r="A677" s="8">
        <v>766.0</v>
      </c>
      <c r="B677" s="9" t="s">
        <v>653</v>
      </c>
      <c r="C677" s="10" t="s">
        <v>705</v>
      </c>
      <c r="D677" s="8" t="s">
        <v>5</v>
      </c>
      <c r="E677" s="11">
        <v>8404.33</v>
      </c>
    </row>
    <row r="678" ht="15.0" customHeight="1">
      <c r="A678" s="4">
        <v>764.0</v>
      </c>
      <c r="B678" s="5" t="s">
        <v>653</v>
      </c>
      <c r="C678" s="6" t="s">
        <v>706</v>
      </c>
      <c r="D678" s="4" t="s">
        <v>5</v>
      </c>
      <c r="E678" s="7">
        <v>6513.34</v>
      </c>
    </row>
    <row r="679" ht="15.0" customHeight="1">
      <c r="A679" s="8">
        <v>786.0</v>
      </c>
      <c r="B679" s="9" t="s">
        <v>653</v>
      </c>
      <c r="C679" s="10" t="s">
        <v>707</v>
      </c>
      <c r="D679" s="8" t="s">
        <v>5</v>
      </c>
      <c r="E679" s="11">
        <v>7984.11</v>
      </c>
    </row>
    <row r="680" ht="15.0" customHeight="1">
      <c r="A680" s="4">
        <v>765.0</v>
      </c>
      <c r="B680" s="5" t="s">
        <v>653</v>
      </c>
      <c r="C680" s="6" t="s">
        <v>708</v>
      </c>
      <c r="D680" s="4" t="s">
        <v>5</v>
      </c>
      <c r="E680" s="7">
        <v>7353.76</v>
      </c>
    </row>
    <row r="681" ht="15.0" customHeight="1">
      <c r="A681" s="8">
        <v>767.0</v>
      </c>
      <c r="B681" s="9" t="s">
        <v>653</v>
      </c>
      <c r="C681" s="10" t="s">
        <v>709</v>
      </c>
      <c r="D681" s="8" t="s">
        <v>5</v>
      </c>
      <c r="E681" s="11">
        <v>17859.19</v>
      </c>
    </row>
    <row r="682" ht="15.0" customHeight="1">
      <c r="A682" s="4">
        <v>937.0</v>
      </c>
      <c r="B682" s="5" t="s">
        <v>653</v>
      </c>
      <c r="C682" s="6" t="s">
        <v>710</v>
      </c>
      <c r="D682" s="4" t="s">
        <v>5</v>
      </c>
      <c r="E682" s="7">
        <v>5504.87</v>
      </c>
    </row>
    <row r="683" ht="15.0" customHeight="1">
      <c r="A683" s="8">
        <v>776.0</v>
      </c>
      <c r="B683" s="9" t="s">
        <v>653</v>
      </c>
      <c r="C683" s="10" t="s">
        <v>711</v>
      </c>
      <c r="D683" s="8" t="s">
        <v>5</v>
      </c>
      <c r="E683" s="11">
        <v>5672.9</v>
      </c>
    </row>
    <row r="684" ht="15.0" customHeight="1">
      <c r="A684" s="4">
        <v>936.0</v>
      </c>
      <c r="B684" s="5" t="s">
        <v>653</v>
      </c>
      <c r="C684" s="6" t="s">
        <v>712</v>
      </c>
      <c r="D684" s="4" t="s">
        <v>5</v>
      </c>
      <c r="E684" s="7">
        <v>6156.15</v>
      </c>
    </row>
    <row r="685" ht="15.0" customHeight="1">
      <c r="A685" s="8">
        <v>935.0</v>
      </c>
      <c r="B685" s="9" t="s">
        <v>653</v>
      </c>
      <c r="C685" s="10" t="s">
        <v>713</v>
      </c>
      <c r="D685" s="8" t="s">
        <v>5</v>
      </c>
      <c r="E685" s="11">
        <v>11240.75</v>
      </c>
    </row>
    <row r="686" ht="15.0" customHeight="1">
      <c r="A686" s="4">
        <v>775.0</v>
      </c>
      <c r="B686" s="5" t="s">
        <v>653</v>
      </c>
      <c r="C686" s="6" t="s">
        <v>714</v>
      </c>
      <c r="D686" s="4" t="s">
        <v>5</v>
      </c>
      <c r="E686" s="7">
        <v>11450.87</v>
      </c>
    </row>
    <row r="687" ht="15.0" customHeight="1">
      <c r="A687" s="8">
        <v>771.0</v>
      </c>
      <c r="B687" s="9" t="s">
        <v>653</v>
      </c>
      <c r="C687" s="10" t="s">
        <v>715</v>
      </c>
      <c r="D687" s="8" t="s">
        <v>5</v>
      </c>
      <c r="E687" s="11">
        <v>9875.03</v>
      </c>
    </row>
    <row r="688" ht="15.0" customHeight="1">
      <c r="A688" s="4">
        <v>774.0</v>
      </c>
      <c r="B688" s="5" t="s">
        <v>653</v>
      </c>
      <c r="C688" s="6" t="s">
        <v>716</v>
      </c>
      <c r="D688" s="4" t="s">
        <v>5</v>
      </c>
      <c r="E688" s="7">
        <v>10337.33</v>
      </c>
    </row>
    <row r="689" ht="15.0" customHeight="1">
      <c r="A689" s="8">
        <v>760.0</v>
      </c>
      <c r="B689" s="9" t="s">
        <v>653</v>
      </c>
      <c r="C689" s="10" t="s">
        <v>717</v>
      </c>
      <c r="D689" s="8" t="s">
        <v>5</v>
      </c>
      <c r="E689" s="11">
        <v>33197.04</v>
      </c>
    </row>
    <row r="690" ht="15.0" customHeight="1">
      <c r="A690" s="4">
        <v>761.0</v>
      </c>
      <c r="B690" s="5" t="s">
        <v>653</v>
      </c>
      <c r="C690" s="6" t="s">
        <v>718</v>
      </c>
      <c r="D690" s="4" t="s">
        <v>5</v>
      </c>
      <c r="E690" s="7">
        <v>49375.38</v>
      </c>
    </row>
    <row r="691" ht="15.0" customHeight="1">
      <c r="A691" s="8">
        <v>762.0</v>
      </c>
      <c r="B691" s="9" t="s">
        <v>653</v>
      </c>
      <c r="C691" s="10" t="s">
        <v>719</v>
      </c>
      <c r="D691" s="8" t="s">
        <v>5</v>
      </c>
      <c r="E691" s="11">
        <v>63872.82</v>
      </c>
    </row>
    <row r="692" ht="15.0" customHeight="1">
      <c r="A692" s="4">
        <v>768.0</v>
      </c>
      <c r="B692" s="5" t="s">
        <v>653</v>
      </c>
      <c r="C692" s="6" t="s">
        <v>720</v>
      </c>
      <c r="D692" s="4" t="s">
        <v>5</v>
      </c>
      <c r="E692" s="7">
        <v>3319.72</v>
      </c>
    </row>
    <row r="693" ht="15.0" customHeight="1">
      <c r="A693" s="8">
        <v>769.0</v>
      </c>
      <c r="B693" s="9" t="s">
        <v>653</v>
      </c>
      <c r="C693" s="10" t="s">
        <v>721</v>
      </c>
      <c r="D693" s="8" t="s">
        <v>5</v>
      </c>
      <c r="E693" s="11">
        <v>3971.03</v>
      </c>
    </row>
    <row r="694" ht="15.0" customHeight="1">
      <c r="A694" s="4">
        <v>770.0</v>
      </c>
      <c r="B694" s="5" t="s">
        <v>653</v>
      </c>
      <c r="C694" s="6" t="s">
        <v>722</v>
      </c>
      <c r="D694" s="4" t="s">
        <v>5</v>
      </c>
      <c r="E694" s="7">
        <v>5988.1</v>
      </c>
    </row>
    <row r="695" ht="15.0" customHeight="1">
      <c r="A695" s="8">
        <v>772.0</v>
      </c>
      <c r="B695" s="9" t="s">
        <v>653</v>
      </c>
      <c r="C695" s="10" t="s">
        <v>723</v>
      </c>
      <c r="D695" s="8" t="s">
        <v>5</v>
      </c>
      <c r="E695" s="11">
        <v>44752.97</v>
      </c>
    </row>
    <row r="696" ht="15.0" customHeight="1">
      <c r="A696" s="4">
        <v>773.0</v>
      </c>
      <c r="B696" s="5" t="s">
        <v>653</v>
      </c>
      <c r="C696" s="6" t="s">
        <v>724</v>
      </c>
      <c r="D696" s="4" t="s">
        <v>5</v>
      </c>
      <c r="E696" s="7">
        <v>49375.38</v>
      </c>
    </row>
    <row r="697" ht="15.0" customHeight="1">
      <c r="A697" s="8">
        <v>994.0</v>
      </c>
      <c r="B697" s="9" t="s">
        <v>653</v>
      </c>
      <c r="C697" s="10" t="s">
        <v>725</v>
      </c>
      <c r="D697" s="8" t="s">
        <v>5</v>
      </c>
      <c r="E697" s="11">
        <v>99591.16</v>
      </c>
    </row>
    <row r="698" ht="15.0" customHeight="1">
      <c r="A698" s="4">
        <v>987.0</v>
      </c>
      <c r="B698" s="5" t="s">
        <v>653</v>
      </c>
      <c r="C698" s="6" t="s">
        <v>726</v>
      </c>
      <c r="D698" s="4" t="s">
        <v>5</v>
      </c>
      <c r="E698" s="7">
        <v>2521.32</v>
      </c>
    </row>
    <row r="699" ht="15.0" customHeight="1">
      <c r="A699" s="8">
        <v>988.0</v>
      </c>
      <c r="B699" s="9" t="s">
        <v>653</v>
      </c>
      <c r="C699" s="10" t="s">
        <v>727</v>
      </c>
      <c r="D699" s="8" t="s">
        <v>5</v>
      </c>
      <c r="E699" s="11">
        <v>3781.93</v>
      </c>
    </row>
    <row r="700" ht="15.0" customHeight="1">
      <c r="A700" s="4">
        <v>1657.0</v>
      </c>
      <c r="B700" s="5" t="s">
        <v>728</v>
      </c>
      <c r="C700" s="6" t="s">
        <v>729</v>
      </c>
      <c r="D700" s="4" t="s">
        <v>5</v>
      </c>
      <c r="E700" s="7">
        <v>41990.25</v>
      </c>
    </row>
    <row r="701" ht="15.0" customHeight="1">
      <c r="A701" s="8">
        <v>328.0</v>
      </c>
      <c r="B701" s="9" t="s">
        <v>728</v>
      </c>
      <c r="C701" s="10" t="s">
        <v>730</v>
      </c>
      <c r="D701" s="8" t="s">
        <v>5</v>
      </c>
      <c r="E701" s="11">
        <v>10991.56</v>
      </c>
    </row>
    <row r="702" ht="15.0" customHeight="1">
      <c r="A702" s="4">
        <v>329.0</v>
      </c>
      <c r="B702" s="5" t="s">
        <v>728</v>
      </c>
      <c r="C702" s="6" t="s">
        <v>731</v>
      </c>
      <c r="D702" s="4" t="s">
        <v>5</v>
      </c>
      <c r="E702" s="7">
        <v>23093.38</v>
      </c>
    </row>
    <row r="703" ht="15.0" customHeight="1">
      <c r="A703" s="8">
        <v>330.0</v>
      </c>
      <c r="B703" s="9" t="s">
        <v>728</v>
      </c>
      <c r="C703" s="10" t="s">
        <v>732</v>
      </c>
      <c r="D703" s="8" t="s">
        <v>5</v>
      </c>
      <c r="E703" s="11">
        <v>32889.0</v>
      </c>
    </row>
    <row r="704" ht="15.0" customHeight="1">
      <c r="A704" s="4">
        <v>1607.0</v>
      </c>
      <c r="B704" s="5" t="s">
        <v>728</v>
      </c>
      <c r="C704" s="6" t="s">
        <v>733</v>
      </c>
      <c r="D704" s="4" t="s">
        <v>5</v>
      </c>
      <c r="E704" s="7">
        <v>26971.82</v>
      </c>
    </row>
    <row r="705" ht="15.0" customHeight="1">
      <c r="A705" s="8">
        <v>1636.0</v>
      </c>
      <c r="B705" s="9" t="s">
        <v>728</v>
      </c>
      <c r="C705" s="10" t="s">
        <v>734</v>
      </c>
      <c r="D705" s="8" t="s">
        <v>5</v>
      </c>
      <c r="E705" s="11">
        <v>24430.99</v>
      </c>
    </row>
    <row r="706" ht="15.0" customHeight="1">
      <c r="A706" s="4">
        <v>1617.0</v>
      </c>
      <c r="B706" s="5" t="s">
        <v>728</v>
      </c>
      <c r="C706" s="6" t="s">
        <v>735</v>
      </c>
      <c r="D706" s="4" t="s">
        <v>5</v>
      </c>
      <c r="E706" s="7">
        <v>2794.89</v>
      </c>
    </row>
    <row r="707" ht="15.0" customHeight="1">
      <c r="A707" s="8">
        <v>1618.0</v>
      </c>
      <c r="B707" s="9" t="s">
        <v>728</v>
      </c>
      <c r="C707" s="10" t="s">
        <v>736</v>
      </c>
      <c r="D707" s="8" t="s">
        <v>5</v>
      </c>
      <c r="E707" s="11">
        <v>2873.07</v>
      </c>
    </row>
    <row r="708" ht="15.0" customHeight="1">
      <c r="A708" s="4">
        <v>1613.0</v>
      </c>
      <c r="B708" s="5" t="s">
        <v>728</v>
      </c>
      <c r="C708" s="6" t="s">
        <v>737</v>
      </c>
      <c r="D708" s="4" t="s">
        <v>5</v>
      </c>
      <c r="E708" s="7">
        <v>3811.26</v>
      </c>
    </row>
    <row r="709" ht="15.0" customHeight="1">
      <c r="A709" s="8">
        <v>795.0</v>
      </c>
      <c r="B709" s="9" t="s">
        <v>728</v>
      </c>
      <c r="C709" s="10" t="s">
        <v>738</v>
      </c>
      <c r="D709" s="8" t="s">
        <v>5</v>
      </c>
      <c r="E709" s="11">
        <v>1088.07</v>
      </c>
    </row>
    <row r="710" ht="15.0" customHeight="1">
      <c r="A710" s="4">
        <v>323.0</v>
      </c>
      <c r="B710" s="5" t="s">
        <v>728</v>
      </c>
      <c r="C710" s="6" t="s">
        <v>739</v>
      </c>
      <c r="D710" s="4" t="s">
        <v>5</v>
      </c>
      <c r="E710" s="7">
        <v>1665.42</v>
      </c>
    </row>
    <row r="711" ht="15.0" customHeight="1">
      <c r="A711" s="8">
        <v>253.0</v>
      </c>
      <c r="B711" s="9" t="s">
        <v>728</v>
      </c>
      <c r="C711" s="10" t="s">
        <v>740</v>
      </c>
      <c r="D711" s="8" t="s">
        <v>76</v>
      </c>
      <c r="E711" s="11">
        <v>1776.43</v>
      </c>
    </row>
    <row r="712" ht="15.0" customHeight="1">
      <c r="A712" s="4">
        <v>245.0</v>
      </c>
      <c r="B712" s="5" t="s">
        <v>728</v>
      </c>
      <c r="C712" s="6" t="s">
        <v>741</v>
      </c>
      <c r="D712" s="4" t="s">
        <v>76</v>
      </c>
      <c r="E712" s="7">
        <v>21761.05</v>
      </c>
    </row>
    <row r="713" ht="15.0" customHeight="1">
      <c r="A713" s="8">
        <v>247.0</v>
      </c>
      <c r="B713" s="9" t="s">
        <v>728</v>
      </c>
      <c r="C713" s="10" t="s">
        <v>742</v>
      </c>
      <c r="D713" s="8" t="s">
        <v>76</v>
      </c>
      <c r="E713" s="11">
        <v>35084.13</v>
      </c>
    </row>
    <row r="714" ht="15.0" customHeight="1">
      <c r="A714" s="4">
        <v>248.0</v>
      </c>
      <c r="B714" s="5" t="s">
        <v>728</v>
      </c>
      <c r="C714" s="6" t="s">
        <v>743</v>
      </c>
      <c r="D714" s="4" t="s">
        <v>76</v>
      </c>
      <c r="E714" s="7">
        <v>44410.32</v>
      </c>
    </row>
    <row r="715" ht="15.0" customHeight="1">
      <c r="A715" s="8">
        <v>251.0</v>
      </c>
      <c r="B715" s="9" t="s">
        <v>728</v>
      </c>
      <c r="C715" s="10" t="s">
        <v>744</v>
      </c>
      <c r="D715" s="8" t="s">
        <v>76</v>
      </c>
      <c r="E715" s="11">
        <v>2158.85</v>
      </c>
    </row>
    <row r="716" ht="15.0" customHeight="1">
      <c r="A716" s="4">
        <v>243.0</v>
      </c>
      <c r="B716" s="5" t="s">
        <v>728</v>
      </c>
      <c r="C716" s="6" t="s">
        <v>745</v>
      </c>
      <c r="D716" s="4" t="s">
        <v>76</v>
      </c>
      <c r="E716" s="7">
        <v>2319.74</v>
      </c>
    </row>
    <row r="717" ht="15.0" customHeight="1">
      <c r="A717" s="8">
        <v>249.0</v>
      </c>
      <c r="B717" s="9" t="s">
        <v>728</v>
      </c>
      <c r="C717" s="10" t="s">
        <v>746</v>
      </c>
      <c r="D717" s="8" t="s">
        <v>76</v>
      </c>
      <c r="E717" s="11">
        <v>10880.5</v>
      </c>
    </row>
    <row r="718" ht="15.0" customHeight="1">
      <c r="A718" s="4">
        <v>1611.0</v>
      </c>
      <c r="B718" s="5" t="s">
        <v>728</v>
      </c>
      <c r="C718" s="6" t="s">
        <v>747</v>
      </c>
      <c r="D718" s="4" t="s">
        <v>76</v>
      </c>
      <c r="E718" s="7">
        <v>1055.42</v>
      </c>
    </row>
    <row r="719" ht="15.0" customHeight="1">
      <c r="A719" s="8">
        <v>255.0</v>
      </c>
      <c r="B719" s="9" t="s">
        <v>728</v>
      </c>
      <c r="C719" s="10" t="s">
        <v>748</v>
      </c>
      <c r="D719" s="8" t="s">
        <v>76</v>
      </c>
      <c r="E719" s="11">
        <v>910.44</v>
      </c>
    </row>
    <row r="720" ht="15.0" customHeight="1">
      <c r="A720" s="4">
        <v>258.0</v>
      </c>
      <c r="B720" s="5" t="s">
        <v>728</v>
      </c>
      <c r="C720" s="6" t="s">
        <v>749</v>
      </c>
      <c r="D720" s="4" t="s">
        <v>76</v>
      </c>
      <c r="E720" s="7">
        <v>4490.5</v>
      </c>
    </row>
    <row r="721" ht="15.0" customHeight="1">
      <c r="A721" s="8">
        <v>256.0</v>
      </c>
      <c r="B721" s="9" t="s">
        <v>728</v>
      </c>
      <c r="C721" s="10" t="s">
        <v>750</v>
      </c>
      <c r="D721" s="8" t="s">
        <v>76</v>
      </c>
      <c r="E721" s="11">
        <v>1888.12</v>
      </c>
    </row>
    <row r="722" ht="15.0" customHeight="1">
      <c r="A722" s="4">
        <v>271.0</v>
      </c>
      <c r="B722" s="5" t="s">
        <v>728</v>
      </c>
      <c r="C722" s="6" t="s">
        <v>751</v>
      </c>
      <c r="D722" s="4" t="s">
        <v>76</v>
      </c>
      <c r="E722" s="7">
        <v>15791.04</v>
      </c>
    </row>
    <row r="723" ht="15.0" customHeight="1">
      <c r="A723" s="8">
        <v>275.0</v>
      </c>
      <c r="B723" s="9" t="s">
        <v>728</v>
      </c>
      <c r="C723" s="10" t="s">
        <v>752</v>
      </c>
      <c r="D723" s="8" t="s">
        <v>76</v>
      </c>
      <c r="E723" s="11">
        <v>33111.06</v>
      </c>
    </row>
    <row r="724" ht="15.0" customHeight="1">
      <c r="A724" s="4">
        <v>273.0</v>
      </c>
      <c r="B724" s="5" t="s">
        <v>728</v>
      </c>
      <c r="C724" s="6" t="s">
        <v>753</v>
      </c>
      <c r="D724" s="4" t="s">
        <v>76</v>
      </c>
      <c r="E724" s="7">
        <v>57289.29</v>
      </c>
    </row>
    <row r="725" ht="15.0" customHeight="1">
      <c r="A725" s="8">
        <v>784.0</v>
      </c>
      <c r="B725" s="9" t="s">
        <v>728</v>
      </c>
      <c r="C725" s="10" t="s">
        <v>754</v>
      </c>
      <c r="D725" s="8" t="s">
        <v>5</v>
      </c>
      <c r="E725" s="11">
        <v>96592.41</v>
      </c>
    </row>
    <row r="726" ht="15.0" customHeight="1">
      <c r="A726" s="4">
        <v>783.0</v>
      </c>
      <c r="B726" s="5" t="s">
        <v>728</v>
      </c>
      <c r="C726" s="6" t="s">
        <v>755</v>
      </c>
      <c r="D726" s="4" t="s">
        <v>5</v>
      </c>
      <c r="E726" s="7">
        <v>142112.91</v>
      </c>
    </row>
    <row r="727" ht="15.0" customHeight="1">
      <c r="A727" s="8">
        <v>782.0</v>
      </c>
      <c r="B727" s="9" t="s">
        <v>728</v>
      </c>
      <c r="C727" s="10" t="s">
        <v>756</v>
      </c>
      <c r="D727" s="8" t="s">
        <v>5</v>
      </c>
      <c r="E727" s="11">
        <v>240925.87</v>
      </c>
    </row>
    <row r="728" ht="15.0" customHeight="1">
      <c r="A728" s="4">
        <v>259.0</v>
      </c>
      <c r="B728" s="5" t="s">
        <v>728</v>
      </c>
      <c r="C728" s="6" t="s">
        <v>757</v>
      </c>
      <c r="D728" s="4" t="s">
        <v>76</v>
      </c>
      <c r="E728" s="7">
        <v>777.19</v>
      </c>
    </row>
    <row r="729" ht="15.0" customHeight="1">
      <c r="A729" s="8">
        <v>261.0</v>
      </c>
      <c r="B729" s="9" t="s">
        <v>728</v>
      </c>
      <c r="C729" s="10" t="s">
        <v>758</v>
      </c>
      <c r="D729" s="8" t="s">
        <v>76</v>
      </c>
      <c r="E729" s="11">
        <v>888.19</v>
      </c>
    </row>
    <row r="730" ht="15.0" customHeight="1">
      <c r="A730" s="4">
        <v>263.0</v>
      </c>
      <c r="B730" s="5" t="s">
        <v>728</v>
      </c>
      <c r="C730" s="6" t="s">
        <v>759</v>
      </c>
      <c r="D730" s="4" t="s">
        <v>76</v>
      </c>
      <c r="E730" s="7">
        <v>965.92</v>
      </c>
    </row>
    <row r="731" ht="15.0" customHeight="1">
      <c r="A731" s="8">
        <v>269.0</v>
      </c>
      <c r="B731" s="9" t="s">
        <v>728</v>
      </c>
      <c r="C731" s="10" t="s">
        <v>760</v>
      </c>
      <c r="D731" s="8" t="s">
        <v>76</v>
      </c>
      <c r="E731" s="11">
        <v>7105.64</v>
      </c>
    </row>
    <row r="732" ht="15.0" customHeight="1">
      <c r="A732" s="4">
        <v>265.0</v>
      </c>
      <c r="B732" s="5" t="s">
        <v>728</v>
      </c>
      <c r="C732" s="6" t="s">
        <v>761</v>
      </c>
      <c r="D732" s="4" t="s">
        <v>76</v>
      </c>
      <c r="E732" s="7">
        <v>1421.12</v>
      </c>
    </row>
    <row r="733" ht="15.0" customHeight="1">
      <c r="A733" s="8">
        <v>266.0</v>
      </c>
      <c r="B733" s="9" t="s">
        <v>728</v>
      </c>
      <c r="C733" s="10" t="s">
        <v>762</v>
      </c>
      <c r="D733" s="8" t="s">
        <v>76</v>
      </c>
      <c r="E733" s="11">
        <v>2409.28</v>
      </c>
    </row>
    <row r="734" ht="15.0" customHeight="1">
      <c r="A734" s="4">
        <v>268.0</v>
      </c>
      <c r="B734" s="5" t="s">
        <v>728</v>
      </c>
      <c r="C734" s="6" t="s">
        <v>763</v>
      </c>
      <c r="D734" s="4" t="s">
        <v>76</v>
      </c>
      <c r="E734" s="7">
        <v>3996.93</v>
      </c>
    </row>
    <row r="735" ht="15.0" customHeight="1">
      <c r="A735" s="8">
        <v>1610.0</v>
      </c>
      <c r="B735" s="9" t="s">
        <v>728</v>
      </c>
      <c r="C735" s="10" t="s">
        <v>764</v>
      </c>
      <c r="D735" s="8" t="s">
        <v>76</v>
      </c>
      <c r="E735" s="11">
        <v>341.69</v>
      </c>
    </row>
    <row r="736" ht="15.0" customHeight="1">
      <c r="A736" s="4">
        <v>778.0</v>
      </c>
      <c r="B736" s="5" t="s">
        <v>728</v>
      </c>
      <c r="C736" s="6" t="s">
        <v>765</v>
      </c>
      <c r="D736" s="4" t="s">
        <v>5</v>
      </c>
      <c r="E736" s="7">
        <v>1665.42</v>
      </c>
    </row>
    <row r="737" ht="15.0" customHeight="1">
      <c r="A737" s="8">
        <v>216.0</v>
      </c>
      <c r="B737" s="9" t="s">
        <v>728</v>
      </c>
      <c r="C737" s="10" t="s">
        <v>766</v>
      </c>
      <c r="D737" s="8" t="s">
        <v>5</v>
      </c>
      <c r="E737" s="11">
        <v>1443.34</v>
      </c>
    </row>
    <row r="738" ht="15.0" customHeight="1">
      <c r="A738" s="4">
        <v>218.0</v>
      </c>
      <c r="B738" s="5" t="s">
        <v>728</v>
      </c>
      <c r="C738" s="6" t="s">
        <v>767</v>
      </c>
      <c r="D738" s="4" t="s">
        <v>5</v>
      </c>
      <c r="E738" s="7">
        <v>1154.7</v>
      </c>
    </row>
    <row r="739" ht="15.0" customHeight="1">
      <c r="A739" s="8">
        <v>196.0</v>
      </c>
      <c r="B739" s="9" t="s">
        <v>728</v>
      </c>
      <c r="C739" s="10" t="s">
        <v>768</v>
      </c>
      <c r="D739" s="8" t="s">
        <v>5</v>
      </c>
      <c r="E739" s="11">
        <v>21638.0</v>
      </c>
    </row>
    <row r="740" ht="15.0" customHeight="1">
      <c r="A740" s="4">
        <v>207.0</v>
      </c>
      <c r="B740" s="5" t="s">
        <v>728</v>
      </c>
      <c r="C740" s="6" t="s">
        <v>769</v>
      </c>
      <c r="D740" s="4" t="s">
        <v>5</v>
      </c>
      <c r="E740" s="7">
        <v>36331.45</v>
      </c>
    </row>
    <row r="741" ht="15.0" customHeight="1">
      <c r="A741" s="8">
        <v>221.0</v>
      </c>
      <c r="B741" s="9" t="s">
        <v>728</v>
      </c>
      <c r="C741" s="10" t="s">
        <v>770</v>
      </c>
      <c r="D741" s="8" t="s">
        <v>5</v>
      </c>
      <c r="E741" s="11">
        <v>7204.56</v>
      </c>
    </row>
    <row r="742" ht="15.0" customHeight="1">
      <c r="A742" s="4">
        <v>223.0</v>
      </c>
      <c r="B742" s="5" t="s">
        <v>728</v>
      </c>
      <c r="C742" s="6" t="s">
        <v>771</v>
      </c>
      <c r="D742" s="4" t="s">
        <v>5</v>
      </c>
      <c r="E742" s="7">
        <v>10177.58</v>
      </c>
    </row>
    <row r="743" ht="15.0" customHeight="1">
      <c r="A743" s="8">
        <v>1628.0</v>
      </c>
      <c r="B743" s="9" t="s">
        <v>728</v>
      </c>
      <c r="C743" s="10" t="s">
        <v>772</v>
      </c>
      <c r="D743" s="8" t="s">
        <v>5</v>
      </c>
      <c r="E743" s="11">
        <v>5765.68</v>
      </c>
    </row>
    <row r="744" ht="15.0" customHeight="1">
      <c r="A744" s="4">
        <v>201.0</v>
      </c>
      <c r="B744" s="5" t="s">
        <v>728</v>
      </c>
      <c r="C744" s="6" t="s">
        <v>773</v>
      </c>
      <c r="D744" s="4" t="s">
        <v>5</v>
      </c>
      <c r="E744" s="7">
        <v>15321.58</v>
      </c>
    </row>
    <row r="745" ht="15.0" customHeight="1">
      <c r="A745" s="8">
        <v>212.0</v>
      </c>
      <c r="B745" s="9" t="s">
        <v>728</v>
      </c>
      <c r="C745" s="10" t="s">
        <v>774</v>
      </c>
      <c r="D745" s="8" t="s">
        <v>5</v>
      </c>
      <c r="E745" s="11">
        <v>1998.47</v>
      </c>
    </row>
    <row r="746" ht="15.0" customHeight="1">
      <c r="A746" s="4">
        <v>777.0</v>
      </c>
      <c r="B746" s="5" t="s">
        <v>728</v>
      </c>
      <c r="C746" s="6" t="s">
        <v>775</v>
      </c>
      <c r="D746" s="4" t="s">
        <v>5</v>
      </c>
      <c r="E746" s="7">
        <v>2442.57</v>
      </c>
    </row>
    <row r="747" ht="15.0" customHeight="1">
      <c r="A747" s="8">
        <v>1688.0</v>
      </c>
      <c r="B747" s="9" t="s">
        <v>728</v>
      </c>
      <c r="C747" s="10" t="s">
        <v>776</v>
      </c>
      <c r="D747" s="8" t="s">
        <v>5</v>
      </c>
      <c r="E747" s="11">
        <v>1055.42</v>
      </c>
    </row>
    <row r="748" ht="15.0" customHeight="1">
      <c r="A748" s="4">
        <v>1631.0</v>
      </c>
      <c r="B748" s="5" t="s">
        <v>728</v>
      </c>
      <c r="C748" s="6" t="s">
        <v>777</v>
      </c>
      <c r="D748" s="4" t="s">
        <v>5</v>
      </c>
      <c r="E748" s="7">
        <v>45050.72</v>
      </c>
    </row>
    <row r="749" ht="15.0" customHeight="1">
      <c r="A749" s="8">
        <v>1632.0</v>
      </c>
      <c r="B749" s="9" t="s">
        <v>728</v>
      </c>
      <c r="C749" s="10" t="s">
        <v>778</v>
      </c>
      <c r="D749" s="8" t="s">
        <v>5</v>
      </c>
      <c r="E749" s="11">
        <v>72120.19</v>
      </c>
    </row>
    <row r="750" ht="15.0" customHeight="1">
      <c r="A750" s="4">
        <v>1633.0</v>
      </c>
      <c r="B750" s="5" t="s">
        <v>728</v>
      </c>
      <c r="C750" s="6" t="s">
        <v>779</v>
      </c>
      <c r="D750" s="4" t="s">
        <v>5</v>
      </c>
      <c r="E750" s="7">
        <v>80719.94</v>
      </c>
    </row>
    <row r="751" ht="15.0" customHeight="1">
      <c r="A751" s="8">
        <v>1629.0</v>
      </c>
      <c r="B751" s="9" t="s">
        <v>728</v>
      </c>
      <c r="C751" s="10" t="s">
        <v>780</v>
      </c>
      <c r="D751" s="8" t="s">
        <v>5</v>
      </c>
      <c r="E751" s="11">
        <v>24430.99</v>
      </c>
    </row>
    <row r="752" ht="15.0" customHeight="1">
      <c r="A752" s="4">
        <v>1630.0</v>
      </c>
      <c r="B752" s="5" t="s">
        <v>728</v>
      </c>
      <c r="C752" s="6" t="s">
        <v>781</v>
      </c>
      <c r="D752" s="4" t="s">
        <v>5</v>
      </c>
      <c r="E752" s="7">
        <v>31271.67</v>
      </c>
    </row>
    <row r="753" ht="15.0" customHeight="1">
      <c r="A753" s="8">
        <v>1687.0</v>
      </c>
      <c r="B753" s="9" t="s">
        <v>728</v>
      </c>
      <c r="C753" s="10" t="s">
        <v>782</v>
      </c>
      <c r="D753" s="8" t="s">
        <v>5</v>
      </c>
      <c r="E753" s="11">
        <v>1153.14</v>
      </c>
    </row>
    <row r="754" ht="15.0" customHeight="1">
      <c r="A754" s="4">
        <v>225.0</v>
      </c>
      <c r="B754" s="5" t="s">
        <v>728</v>
      </c>
      <c r="C754" s="6" t="s">
        <v>783</v>
      </c>
      <c r="D754" s="4" t="s">
        <v>5</v>
      </c>
      <c r="E754" s="7">
        <v>35084.13</v>
      </c>
    </row>
    <row r="755" ht="15.0" customHeight="1">
      <c r="A755" s="8">
        <v>779.0</v>
      </c>
      <c r="B755" s="9" t="s">
        <v>728</v>
      </c>
      <c r="C755" s="10" t="s">
        <v>784</v>
      </c>
      <c r="D755" s="8" t="s">
        <v>5</v>
      </c>
      <c r="E755" s="11">
        <v>41967.74</v>
      </c>
    </row>
    <row r="756" ht="15.0" customHeight="1">
      <c r="A756" s="4">
        <v>226.0</v>
      </c>
      <c r="B756" s="5" t="s">
        <v>728</v>
      </c>
      <c r="C756" s="6" t="s">
        <v>785</v>
      </c>
      <c r="D756" s="4" t="s">
        <v>5</v>
      </c>
      <c r="E756" s="7">
        <v>64394.91</v>
      </c>
    </row>
    <row r="757" ht="15.0" customHeight="1">
      <c r="A757" s="8">
        <v>224.0</v>
      </c>
      <c r="B757" s="9" t="s">
        <v>728</v>
      </c>
      <c r="C757" s="10" t="s">
        <v>786</v>
      </c>
      <c r="D757" s="8" t="s">
        <v>5</v>
      </c>
      <c r="E757" s="11">
        <v>15321.58</v>
      </c>
    </row>
    <row r="758" ht="15.0" customHeight="1">
      <c r="A758" s="4">
        <v>327.0</v>
      </c>
      <c r="B758" s="5" t="s">
        <v>728</v>
      </c>
      <c r="C758" s="6" t="s">
        <v>787</v>
      </c>
      <c r="D758" s="4" t="s">
        <v>5</v>
      </c>
      <c r="E758" s="7">
        <v>44828.99</v>
      </c>
    </row>
    <row r="759" ht="15.0" customHeight="1">
      <c r="A759" s="8">
        <v>178.0</v>
      </c>
      <c r="B759" s="9" t="s">
        <v>728</v>
      </c>
      <c r="C759" s="10" t="s">
        <v>788</v>
      </c>
      <c r="D759" s="8" t="s">
        <v>76</v>
      </c>
      <c r="E759" s="11">
        <v>7549.72</v>
      </c>
    </row>
    <row r="760" ht="15.0" customHeight="1">
      <c r="A760" s="4">
        <v>175.0</v>
      </c>
      <c r="B760" s="5" t="s">
        <v>728</v>
      </c>
      <c r="C760" s="6" t="s">
        <v>789</v>
      </c>
      <c r="D760" s="4" t="s">
        <v>76</v>
      </c>
      <c r="E760" s="7">
        <v>4396.63</v>
      </c>
    </row>
    <row r="761" ht="15.0" customHeight="1">
      <c r="A761" s="8">
        <v>174.0</v>
      </c>
      <c r="B761" s="9" t="s">
        <v>728</v>
      </c>
      <c r="C761" s="10" t="s">
        <v>790</v>
      </c>
      <c r="D761" s="8" t="s">
        <v>76</v>
      </c>
      <c r="E761" s="11">
        <v>5662.31</v>
      </c>
    </row>
    <row r="762" ht="15.0" customHeight="1">
      <c r="A762" s="4">
        <v>177.0</v>
      </c>
      <c r="B762" s="5" t="s">
        <v>728</v>
      </c>
      <c r="C762" s="6" t="s">
        <v>791</v>
      </c>
      <c r="D762" s="4" t="s">
        <v>76</v>
      </c>
      <c r="E762" s="7">
        <v>8926.52</v>
      </c>
    </row>
    <row r="763" ht="15.0" customHeight="1">
      <c r="A763" s="8">
        <v>184.0</v>
      </c>
      <c r="B763" s="9" t="s">
        <v>728</v>
      </c>
      <c r="C763" s="10" t="s">
        <v>792</v>
      </c>
      <c r="D763" s="8" t="s">
        <v>76</v>
      </c>
      <c r="E763" s="11">
        <v>13101.02</v>
      </c>
    </row>
    <row r="764" ht="15.0" customHeight="1">
      <c r="A764" s="4">
        <v>182.0</v>
      </c>
      <c r="B764" s="5" t="s">
        <v>728</v>
      </c>
      <c r="C764" s="6" t="s">
        <v>793</v>
      </c>
      <c r="D764" s="4" t="s">
        <v>76</v>
      </c>
      <c r="E764" s="7">
        <v>9681.45</v>
      </c>
    </row>
    <row r="765" ht="15.0" customHeight="1">
      <c r="A765" s="8">
        <v>179.0</v>
      </c>
      <c r="B765" s="9" t="s">
        <v>728</v>
      </c>
      <c r="C765" s="10" t="s">
        <v>794</v>
      </c>
      <c r="D765" s="8" t="s">
        <v>76</v>
      </c>
      <c r="E765" s="11">
        <v>7905.02</v>
      </c>
    </row>
    <row r="766" ht="15.0" customHeight="1">
      <c r="A766" s="4">
        <v>183.0</v>
      </c>
      <c r="B766" s="5" t="s">
        <v>728</v>
      </c>
      <c r="C766" s="6" t="s">
        <v>795</v>
      </c>
      <c r="D766" s="4" t="s">
        <v>76</v>
      </c>
      <c r="E766" s="7">
        <v>11035.97</v>
      </c>
    </row>
    <row r="767" ht="15.0" customHeight="1">
      <c r="A767" s="8">
        <v>193.0</v>
      </c>
      <c r="B767" s="9" t="s">
        <v>728</v>
      </c>
      <c r="C767" s="10" t="s">
        <v>796</v>
      </c>
      <c r="D767" s="8" t="s">
        <v>5</v>
      </c>
      <c r="E767" s="11">
        <v>76607.76</v>
      </c>
    </row>
    <row r="768" ht="15.0" customHeight="1">
      <c r="A768" s="4">
        <v>788.0</v>
      </c>
      <c r="B768" s="5" t="s">
        <v>728</v>
      </c>
      <c r="C768" s="6" t="s">
        <v>797</v>
      </c>
      <c r="D768" s="4" t="s">
        <v>5</v>
      </c>
      <c r="E768" s="7">
        <v>35084.13</v>
      </c>
    </row>
    <row r="769" ht="15.0" customHeight="1">
      <c r="A769" s="8">
        <v>1658.0</v>
      </c>
      <c r="B769" s="9" t="s">
        <v>728</v>
      </c>
      <c r="C769" s="10" t="s">
        <v>798</v>
      </c>
      <c r="D769" s="8" t="s">
        <v>76</v>
      </c>
      <c r="E769" s="11">
        <v>547.28</v>
      </c>
    </row>
    <row r="770" ht="15.0" customHeight="1">
      <c r="A770" s="4">
        <v>204.0</v>
      </c>
      <c r="B770" s="5" t="s">
        <v>728</v>
      </c>
      <c r="C770" s="6" t="s">
        <v>799</v>
      </c>
      <c r="D770" s="4" t="s">
        <v>76</v>
      </c>
      <c r="E770" s="7">
        <v>397.67</v>
      </c>
    </row>
    <row r="771" ht="15.0" customHeight="1">
      <c r="A771" s="8">
        <v>190.0</v>
      </c>
      <c r="B771" s="9" t="s">
        <v>728</v>
      </c>
      <c r="C771" s="10" t="s">
        <v>800</v>
      </c>
      <c r="D771" s="8" t="s">
        <v>76</v>
      </c>
      <c r="E771" s="11">
        <v>2753.45</v>
      </c>
    </row>
    <row r="772" ht="15.0" customHeight="1">
      <c r="A772" s="4">
        <v>186.0</v>
      </c>
      <c r="B772" s="5" t="s">
        <v>728</v>
      </c>
      <c r="C772" s="6" t="s">
        <v>801</v>
      </c>
      <c r="D772" s="4" t="s">
        <v>76</v>
      </c>
      <c r="E772" s="7">
        <v>1421.12</v>
      </c>
    </row>
    <row r="773" ht="15.0" customHeight="1">
      <c r="A773" s="8">
        <v>185.0</v>
      </c>
      <c r="B773" s="9" t="s">
        <v>728</v>
      </c>
      <c r="C773" s="10" t="s">
        <v>802</v>
      </c>
      <c r="D773" s="8" t="s">
        <v>76</v>
      </c>
      <c r="E773" s="11">
        <v>1598.77</v>
      </c>
    </row>
    <row r="774" ht="15.0" customHeight="1">
      <c r="A774" s="4">
        <v>188.0</v>
      </c>
      <c r="B774" s="5" t="s">
        <v>728</v>
      </c>
      <c r="C774" s="6" t="s">
        <v>803</v>
      </c>
      <c r="D774" s="4" t="s">
        <v>76</v>
      </c>
      <c r="E774" s="7">
        <v>888.19</v>
      </c>
    </row>
    <row r="775" ht="15.0" customHeight="1">
      <c r="A775" s="8">
        <v>1659.0</v>
      </c>
      <c r="B775" s="9" t="s">
        <v>728</v>
      </c>
      <c r="C775" s="10" t="s">
        <v>804</v>
      </c>
      <c r="D775" s="8" t="s">
        <v>76</v>
      </c>
      <c r="E775" s="11">
        <v>2149.94</v>
      </c>
    </row>
    <row r="776" ht="15.0" customHeight="1">
      <c r="A776" s="4">
        <v>1653.0</v>
      </c>
      <c r="B776" s="5" t="s">
        <v>728</v>
      </c>
      <c r="C776" s="6" t="s">
        <v>805</v>
      </c>
      <c r="D776" s="4" t="s">
        <v>5</v>
      </c>
      <c r="E776" s="7">
        <v>85997.01</v>
      </c>
    </row>
    <row r="777" ht="15.0" customHeight="1">
      <c r="A777" s="8">
        <v>320.0</v>
      </c>
      <c r="B777" s="9" t="s">
        <v>728</v>
      </c>
      <c r="C777" s="10" t="s">
        <v>806</v>
      </c>
      <c r="D777" s="8" t="s">
        <v>5</v>
      </c>
      <c r="E777" s="11">
        <v>2997.7</v>
      </c>
    </row>
    <row r="778" ht="15.0" customHeight="1">
      <c r="A778" s="4">
        <v>1660.0</v>
      </c>
      <c r="B778" s="5" t="s">
        <v>728</v>
      </c>
      <c r="C778" s="6" t="s">
        <v>807</v>
      </c>
      <c r="D778" s="4" t="s">
        <v>5</v>
      </c>
      <c r="E778" s="7">
        <v>127041.02</v>
      </c>
    </row>
    <row r="779" ht="15.0" customHeight="1">
      <c r="A779" s="8">
        <v>229.0</v>
      </c>
      <c r="B779" s="9" t="s">
        <v>728</v>
      </c>
      <c r="C779" s="10" t="s">
        <v>808</v>
      </c>
      <c r="D779" s="8" t="s">
        <v>5</v>
      </c>
      <c r="E779" s="11">
        <v>1532.19</v>
      </c>
    </row>
    <row r="780" ht="15.0" customHeight="1">
      <c r="A780" s="4">
        <v>230.0</v>
      </c>
      <c r="B780" s="5" t="s">
        <v>728</v>
      </c>
      <c r="C780" s="6" t="s">
        <v>809</v>
      </c>
      <c r="D780" s="4" t="s">
        <v>5</v>
      </c>
      <c r="E780" s="7">
        <v>3375.19</v>
      </c>
    </row>
    <row r="781" ht="15.0" customHeight="1">
      <c r="A781" s="8">
        <v>228.0</v>
      </c>
      <c r="B781" s="9" t="s">
        <v>728</v>
      </c>
      <c r="C781" s="10" t="s">
        <v>810</v>
      </c>
      <c r="D781" s="8" t="s">
        <v>5</v>
      </c>
      <c r="E781" s="11">
        <v>732.76</v>
      </c>
    </row>
    <row r="782" ht="15.0" customHeight="1">
      <c r="A782" s="4">
        <v>227.0</v>
      </c>
      <c r="B782" s="5" t="s">
        <v>728</v>
      </c>
      <c r="C782" s="6" t="s">
        <v>811</v>
      </c>
      <c r="D782" s="4" t="s">
        <v>5</v>
      </c>
      <c r="E782" s="7">
        <v>621.74</v>
      </c>
    </row>
    <row r="783" ht="15.0" customHeight="1">
      <c r="A783" s="8">
        <v>1637.0</v>
      </c>
      <c r="B783" s="9" t="s">
        <v>728</v>
      </c>
      <c r="C783" s="10" t="s">
        <v>812</v>
      </c>
      <c r="D783" s="8" t="s">
        <v>5</v>
      </c>
      <c r="E783" s="11">
        <v>87951.46</v>
      </c>
    </row>
    <row r="784" ht="15.0" customHeight="1">
      <c r="A784" s="4">
        <v>235.0</v>
      </c>
      <c r="B784" s="5" t="s">
        <v>728</v>
      </c>
      <c r="C784" s="6" t="s">
        <v>813</v>
      </c>
      <c r="D784" s="4" t="s">
        <v>5</v>
      </c>
      <c r="E784" s="7">
        <v>1976.26</v>
      </c>
    </row>
    <row r="785" ht="15.0" customHeight="1">
      <c r="A785" s="8">
        <v>237.0</v>
      </c>
      <c r="B785" s="9" t="s">
        <v>728</v>
      </c>
      <c r="C785" s="10" t="s">
        <v>814</v>
      </c>
      <c r="D785" s="8" t="s">
        <v>5</v>
      </c>
      <c r="E785" s="11">
        <v>4441.05</v>
      </c>
    </row>
    <row r="786" ht="15.0" customHeight="1">
      <c r="A786" s="4">
        <v>233.0</v>
      </c>
      <c r="B786" s="5" t="s">
        <v>728</v>
      </c>
      <c r="C786" s="6" t="s">
        <v>815</v>
      </c>
      <c r="D786" s="4" t="s">
        <v>5</v>
      </c>
      <c r="E786" s="7">
        <v>1443.34</v>
      </c>
    </row>
    <row r="787" ht="15.0" customHeight="1">
      <c r="A787" s="8">
        <v>231.0</v>
      </c>
      <c r="B787" s="9" t="s">
        <v>728</v>
      </c>
      <c r="C787" s="10" t="s">
        <v>816</v>
      </c>
      <c r="D787" s="8" t="s">
        <v>5</v>
      </c>
      <c r="E787" s="11">
        <v>1154.7</v>
      </c>
    </row>
    <row r="788" ht="15.0" customHeight="1">
      <c r="A788" s="4">
        <v>1684.0</v>
      </c>
      <c r="B788" s="5" t="s">
        <v>728</v>
      </c>
      <c r="C788" s="6" t="s">
        <v>817</v>
      </c>
      <c r="D788" s="4" t="s">
        <v>5</v>
      </c>
      <c r="E788" s="7">
        <v>93033.14</v>
      </c>
    </row>
    <row r="789" ht="15.0" customHeight="1">
      <c r="A789" s="8">
        <v>1638.0</v>
      </c>
      <c r="B789" s="9" t="s">
        <v>728</v>
      </c>
      <c r="C789" s="10" t="s">
        <v>818</v>
      </c>
      <c r="D789" s="8" t="s">
        <v>5</v>
      </c>
      <c r="E789" s="11">
        <v>42005.35</v>
      </c>
    </row>
    <row r="790" ht="15.0" customHeight="1">
      <c r="A790" s="4">
        <v>1639.0</v>
      </c>
      <c r="B790" s="5" t="s">
        <v>728</v>
      </c>
      <c r="C790" s="6" t="s">
        <v>819</v>
      </c>
      <c r="D790" s="4" t="s">
        <v>5</v>
      </c>
      <c r="E790" s="7">
        <v>45734.77</v>
      </c>
    </row>
    <row r="791" ht="15.0" customHeight="1">
      <c r="A791" s="8">
        <v>1640.0</v>
      </c>
      <c r="B791" s="9" t="s">
        <v>728</v>
      </c>
      <c r="C791" s="10" t="s">
        <v>820</v>
      </c>
      <c r="D791" s="8" t="s">
        <v>5</v>
      </c>
      <c r="E791" s="11">
        <v>44952.99</v>
      </c>
    </row>
    <row r="792" ht="15.0" customHeight="1">
      <c r="A792" s="4">
        <v>1641.0</v>
      </c>
      <c r="B792" s="5" t="s">
        <v>728</v>
      </c>
      <c r="C792" s="6" t="s">
        <v>821</v>
      </c>
      <c r="D792" s="4" t="s">
        <v>5</v>
      </c>
      <c r="E792" s="7">
        <v>107496.27</v>
      </c>
    </row>
    <row r="793" ht="15.0" customHeight="1">
      <c r="A793" s="8">
        <v>1642.0</v>
      </c>
      <c r="B793" s="9" t="s">
        <v>728</v>
      </c>
      <c r="C793" s="10" t="s">
        <v>822</v>
      </c>
      <c r="D793" s="8" t="s">
        <v>5</v>
      </c>
      <c r="E793" s="11">
        <v>459623.21</v>
      </c>
    </row>
    <row r="794" ht="15.0" customHeight="1">
      <c r="A794" s="4">
        <v>1643.0</v>
      </c>
      <c r="B794" s="5" t="s">
        <v>728</v>
      </c>
      <c r="C794" s="6" t="s">
        <v>823</v>
      </c>
      <c r="D794" s="4" t="s">
        <v>5</v>
      </c>
      <c r="E794" s="7">
        <v>11531.43</v>
      </c>
    </row>
    <row r="795" ht="15.0" customHeight="1">
      <c r="A795" s="8">
        <v>239.0</v>
      </c>
      <c r="B795" s="9" t="s">
        <v>728</v>
      </c>
      <c r="C795" s="10" t="s">
        <v>824</v>
      </c>
      <c r="D795" s="8" t="s">
        <v>5</v>
      </c>
      <c r="E795" s="11">
        <v>1443.34</v>
      </c>
    </row>
    <row r="796" ht="15.0" customHeight="1">
      <c r="A796" s="4">
        <v>332.0</v>
      </c>
      <c r="B796" s="5" t="s">
        <v>728</v>
      </c>
      <c r="C796" s="6" t="s">
        <v>825</v>
      </c>
      <c r="D796" s="4" t="s">
        <v>5</v>
      </c>
      <c r="E796" s="7">
        <v>5551.28</v>
      </c>
    </row>
    <row r="797" ht="15.0" customHeight="1">
      <c r="A797" s="8">
        <v>1627.0</v>
      </c>
      <c r="B797" s="9" t="s">
        <v>728</v>
      </c>
      <c r="C797" s="10" t="s">
        <v>826</v>
      </c>
      <c r="D797" s="8" t="s">
        <v>5</v>
      </c>
      <c r="E797" s="11">
        <v>48861.92</v>
      </c>
    </row>
    <row r="798" ht="15.0" customHeight="1">
      <c r="A798" s="4">
        <v>1680.0</v>
      </c>
      <c r="B798" s="5" t="s">
        <v>728</v>
      </c>
      <c r="C798" s="6" t="s">
        <v>827</v>
      </c>
      <c r="D798" s="4" t="s">
        <v>5</v>
      </c>
      <c r="E798" s="7">
        <v>1153141.65</v>
      </c>
    </row>
    <row r="799" ht="15.0" customHeight="1">
      <c r="A799" s="8">
        <v>1681.0</v>
      </c>
      <c r="B799" s="9" t="s">
        <v>728</v>
      </c>
      <c r="C799" s="10" t="s">
        <v>828</v>
      </c>
      <c r="D799" s="8" t="s">
        <v>5</v>
      </c>
      <c r="E799" s="11">
        <v>1446313.25</v>
      </c>
    </row>
    <row r="800" ht="15.0" customHeight="1">
      <c r="A800" s="4">
        <v>1682.0</v>
      </c>
      <c r="B800" s="5" t="s">
        <v>728</v>
      </c>
      <c r="C800" s="6" t="s">
        <v>829</v>
      </c>
      <c r="D800" s="4" t="s">
        <v>5</v>
      </c>
      <c r="E800" s="7">
        <v>2472413.88</v>
      </c>
    </row>
    <row r="801" ht="15.0" customHeight="1">
      <c r="A801" s="8">
        <v>335.0</v>
      </c>
      <c r="B801" s="9" t="s">
        <v>728</v>
      </c>
      <c r="C801" s="10" t="s">
        <v>830</v>
      </c>
      <c r="D801" s="8" t="s">
        <v>5</v>
      </c>
      <c r="E801" s="11">
        <v>249205.47</v>
      </c>
    </row>
    <row r="802" ht="15.0" customHeight="1">
      <c r="A802" s="4">
        <v>787.0</v>
      </c>
      <c r="B802" s="5" t="s">
        <v>728</v>
      </c>
      <c r="C802" s="6" t="s">
        <v>831</v>
      </c>
      <c r="D802" s="4" t="s">
        <v>5</v>
      </c>
      <c r="E802" s="7">
        <v>56401.05</v>
      </c>
    </row>
    <row r="803" ht="15.0" customHeight="1">
      <c r="A803" s="8">
        <v>1635.0</v>
      </c>
      <c r="B803" s="9" t="s">
        <v>728</v>
      </c>
      <c r="C803" s="10" t="s">
        <v>832</v>
      </c>
      <c r="D803" s="8" t="s">
        <v>5</v>
      </c>
      <c r="E803" s="11">
        <v>243332.42</v>
      </c>
    </row>
    <row r="804" ht="15.0" customHeight="1">
      <c r="A804" s="4">
        <v>1634.0</v>
      </c>
      <c r="B804" s="5" t="s">
        <v>728</v>
      </c>
      <c r="C804" s="6" t="s">
        <v>833</v>
      </c>
      <c r="D804" s="4" t="s">
        <v>5</v>
      </c>
      <c r="E804" s="7">
        <v>366464.52</v>
      </c>
    </row>
    <row r="805" ht="15.0" customHeight="1">
      <c r="A805" s="8">
        <v>790.0</v>
      </c>
      <c r="B805" s="9" t="s">
        <v>728</v>
      </c>
      <c r="C805" s="10" t="s">
        <v>834</v>
      </c>
      <c r="D805" s="8" t="s">
        <v>5</v>
      </c>
      <c r="E805" s="11">
        <v>2997.7</v>
      </c>
    </row>
    <row r="806" ht="15.0" customHeight="1">
      <c r="A806" s="4">
        <v>313.0</v>
      </c>
      <c r="B806" s="5" t="s">
        <v>728</v>
      </c>
      <c r="C806" s="6" t="s">
        <v>835</v>
      </c>
      <c r="D806" s="4" t="s">
        <v>5</v>
      </c>
      <c r="E806" s="7">
        <v>6402.7</v>
      </c>
    </row>
    <row r="807" ht="15.0" customHeight="1">
      <c r="A807" s="8">
        <v>308.0</v>
      </c>
      <c r="B807" s="9" t="s">
        <v>728</v>
      </c>
      <c r="C807" s="10" t="s">
        <v>836</v>
      </c>
      <c r="D807" s="8" t="s">
        <v>5</v>
      </c>
      <c r="E807" s="11">
        <v>12434.91</v>
      </c>
    </row>
    <row r="808" ht="15.0" customHeight="1">
      <c r="A808" s="4">
        <v>315.0</v>
      </c>
      <c r="B808" s="5" t="s">
        <v>728</v>
      </c>
      <c r="C808" s="6" t="s">
        <v>837</v>
      </c>
      <c r="D808" s="4" t="s">
        <v>5</v>
      </c>
      <c r="E808" s="7">
        <v>16949.5</v>
      </c>
    </row>
    <row r="809" ht="15.0" customHeight="1">
      <c r="A809" s="8">
        <v>331.0</v>
      </c>
      <c r="B809" s="9" t="s">
        <v>728</v>
      </c>
      <c r="C809" s="10" t="s">
        <v>838</v>
      </c>
      <c r="D809" s="8" t="s">
        <v>5</v>
      </c>
      <c r="E809" s="11">
        <v>94369.32</v>
      </c>
    </row>
    <row r="810" ht="15.0" customHeight="1">
      <c r="A810" s="4">
        <v>283.0</v>
      </c>
      <c r="B810" s="5" t="s">
        <v>728</v>
      </c>
      <c r="C810" s="6" t="s">
        <v>839</v>
      </c>
      <c r="D810" s="4" t="s">
        <v>5</v>
      </c>
      <c r="E810" s="7">
        <v>4998.14</v>
      </c>
    </row>
    <row r="811" ht="15.0" customHeight="1">
      <c r="A811" s="8">
        <v>288.0</v>
      </c>
      <c r="B811" s="9" t="s">
        <v>728</v>
      </c>
      <c r="C811" s="10" t="s">
        <v>840</v>
      </c>
      <c r="D811" s="8" t="s">
        <v>5</v>
      </c>
      <c r="E811" s="11">
        <v>23216.45</v>
      </c>
    </row>
    <row r="812" ht="15.0" customHeight="1">
      <c r="A812" s="4">
        <v>290.0</v>
      </c>
      <c r="B812" s="5" t="s">
        <v>728</v>
      </c>
      <c r="C812" s="6" t="s">
        <v>841</v>
      </c>
      <c r="D812" s="4" t="s">
        <v>5</v>
      </c>
      <c r="E812" s="7">
        <v>21526.31</v>
      </c>
    </row>
    <row r="813" ht="15.0" customHeight="1">
      <c r="A813" s="8">
        <v>286.0</v>
      </c>
      <c r="B813" s="9" t="s">
        <v>728</v>
      </c>
      <c r="C813" s="10" t="s">
        <v>842</v>
      </c>
      <c r="D813" s="8" t="s">
        <v>5</v>
      </c>
      <c r="E813" s="11">
        <v>33825.43</v>
      </c>
    </row>
    <row r="814" ht="15.0" customHeight="1">
      <c r="A814" s="4">
        <v>781.0</v>
      </c>
      <c r="B814" s="5" t="s">
        <v>728</v>
      </c>
      <c r="C814" s="6" t="s">
        <v>843</v>
      </c>
      <c r="D814" s="4" t="s">
        <v>5</v>
      </c>
      <c r="E814" s="7">
        <v>33061.59</v>
      </c>
    </row>
    <row r="815" ht="15.0" customHeight="1">
      <c r="A815" s="8">
        <v>1645.0</v>
      </c>
      <c r="B815" s="9" t="s">
        <v>728</v>
      </c>
      <c r="C815" s="10" t="s">
        <v>844</v>
      </c>
      <c r="D815" s="8" t="s">
        <v>5</v>
      </c>
      <c r="E815" s="11">
        <v>36820.14</v>
      </c>
    </row>
    <row r="816" ht="15.0" customHeight="1">
      <c r="A816" s="4">
        <v>780.0</v>
      </c>
      <c r="B816" s="5" t="s">
        <v>728</v>
      </c>
      <c r="C816" s="6" t="s">
        <v>845</v>
      </c>
      <c r="D816" s="4" t="s">
        <v>5</v>
      </c>
      <c r="E816" s="7">
        <v>39106.45</v>
      </c>
    </row>
    <row r="817" ht="15.0" customHeight="1">
      <c r="A817" s="8">
        <v>1646.0</v>
      </c>
      <c r="B817" s="9" t="s">
        <v>728</v>
      </c>
      <c r="C817" s="10" t="s">
        <v>846</v>
      </c>
      <c r="D817" s="8" t="s">
        <v>5</v>
      </c>
      <c r="E817" s="11">
        <v>41807.25</v>
      </c>
    </row>
    <row r="818" ht="15.0" customHeight="1">
      <c r="A818" s="4">
        <v>1647.0</v>
      </c>
      <c r="B818" s="5" t="s">
        <v>728</v>
      </c>
      <c r="C818" s="6" t="s">
        <v>847</v>
      </c>
      <c r="D818" s="4" t="s">
        <v>5</v>
      </c>
      <c r="E818" s="7">
        <v>54915.0</v>
      </c>
    </row>
    <row r="819" ht="15.0" customHeight="1">
      <c r="A819" s="8">
        <v>1649.0</v>
      </c>
      <c r="B819" s="9" t="s">
        <v>728</v>
      </c>
      <c r="C819" s="10" t="s">
        <v>848</v>
      </c>
      <c r="D819" s="8" t="s">
        <v>5</v>
      </c>
      <c r="E819" s="11">
        <v>58433.06</v>
      </c>
    </row>
    <row r="820" ht="15.0" customHeight="1">
      <c r="A820" s="4">
        <v>1648.0</v>
      </c>
      <c r="B820" s="5" t="s">
        <v>728</v>
      </c>
      <c r="C820" s="6" t="s">
        <v>849</v>
      </c>
      <c r="D820" s="4" t="s">
        <v>5</v>
      </c>
      <c r="E820" s="7">
        <v>64781.91</v>
      </c>
    </row>
    <row r="821" ht="15.0" customHeight="1">
      <c r="A821" s="8">
        <v>1650.0</v>
      </c>
      <c r="B821" s="9" t="s">
        <v>728</v>
      </c>
      <c r="C821" s="10" t="s">
        <v>850</v>
      </c>
      <c r="D821" s="8" t="s">
        <v>5</v>
      </c>
      <c r="E821" s="11">
        <v>78488.21</v>
      </c>
    </row>
    <row r="822" ht="15.0" customHeight="1">
      <c r="A822" s="4">
        <v>292.0</v>
      </c>
      <c r="B822" s="5" t="s">
        <v>728</v>
      </c>
      <c r="C822" s="6" t="s">
        <v>851</v>
      </c>
      <c r="D822" s="4" t="s">
        <v>5</v>
      </c>
      <c r="E822" s="7">
        <v>65694.32</v>
      </c>
    </row>
    <row r="823" ht="15.0" customHeight="1">
      <c r="A823" s="8">
        <v>1662.0</v>
      </c>
      <c r="B823" s="9" t="s">
        <v>728</v>
      </c>
      <c r="C823" s="10" t="s">
        <v>852</v>
      </c>
      <c r="D823" s="8" t="s">
        <v>5</v>
      </c>
      <c r="E823" s="11">
        <v>105541.8</v>
      </c>
    </row>
    <row r="824" ht="15.0" customHeight="1">
      <c r="A824" s="4">
        <v>1661.0</v>
      </c>
      <c r="B824" s="5" t="s">
        <v>728</v>
      </c>
      <c r="C824" s="6" t="s">
        <v>853</v>
      </c>
      <c r="D824" s="4" t="s">
        <v>5</v>
      </c>
      <c r="E824" s="7">
        <v>351805.93</v>
      </c>
    </row>
    <row r="825" ht="15.0" customHeight="1">
      <c r="A825" s="8">
        <v>1621.0</v>
      </c>
      <c r="B825" s="9" t="s">
        <v>728</v>
      </c>
      <c r="C825" s="10" t="s">
        <v>854</v>
      </c>
      <c r="D825" s="8" t="s">
        <v>5</v>
      </c>
      <c r="E825" s="11">
        <v>6058.89</v>
      </c>
    </row>
    <row r="826" ht="15.0" customHeight="1">
      <c r="A826" s="4">
        <v>1624.0</v>
      </c>
      <c r="B826" s="5" t="s">
        <v>728</v>
      </c>
      <c r="C826" s="6" t="s">
        <v>855</v>
      </c>
      <c r="D826" s="4" t="s">
        <v>5</v>
      </c>
      <c r="E826" s="7">
        <v>5961.18</v>
      </c>
    </row>
    <row r="827" ht="15.0" customHeight="1">
      <c r="A827" s="8">
        <v>1625.0</v>
      </c>
      <c r="B827" s="9" t="s">
        <v>728</v>
      </c>
      <c r="C827" s="10" t="s">
        <v>856</v>
      </c>
      <c r="D827" s="8" t="s">
        <v>5</v>
      </c>
      <c r="E827" s="11">
        <v>9381.48</v>
      </c>
    </row>
    <row r="828" ht="15.0" customHeight="1">
      <c r="A828" s="4">
        <v>1615.0</v>
      </c>
      <c r="B828" s="5" t="s">
        <v>728</v>
      </c>
      <c r="C828" s="6" t="s">
        <v>857</v>
      </c>
      <c r="D828" s="4" t="s">
        <v>5</v>
      </c>
      <c r="E828" s="7">
        <v>6840.67</v>
      </c>
    </row>
    <row r="829" ht="15.0" customHeight="1">
      <c r="A829" s="8">
        <v>297.0</v>
      </c>
      <c r="B829" s="9" t="s">
        <v>728</v>
      </c>
      <c r="C829" s="10" t="s">
        <v>858</v>
      </c>
      <c r="D829" s="8" t="s">
        <v>5</v>
      </c>
      <c r="E829" s="11">
        <v>3663.85</v>
      </c>
    </row>
    <row r="830" ht="15.0" customHeight="1">
      <c r="A830" s="4">
        <v>301.0</v>
      </c>
      <c r="B830" s="5" t="s">
        <v>728</v>
      </c>
      <c r="C830" s="6" t="s">
        <v>859</v>
      </c>
      <c r="D830" s="4" t="s">
        <v>5</v>
      </c>
      <c r="E830" s="7">
        <v>4441.05</v>
      </c>
    </row>
    <row r="831" ht="15.0" customHeight="1">
      <c r="A831" s="8">
        <v>299.0</v>
      </c>
      <c r="B831" s="9" t="s">
        <v>728</v>
      </c>
      <c r="C831" s="10" t="s">
        <v>860</v>
      </c>
      <c r="D831" s="8" t="s">
        <v>5</v>
      </c>
      <c r="E831" s="11">
        <v>4107.98</v>
      </c>
    </row>
    <row r="832" ht="15.0" customHeight="1">
      <c r="A832" s="4">
        <v>304.0</v>
      </c>
      <c r="B832" s="5" t="s">
        <v>728</v>
      </c>
      <c r="C832" s="6" t="s">
        <v>861</v>
      </c>
      <c r="D832" s="4" t="s">
        <v>5</v>
      </c>
      <c r="E832" s="7">
        <v>5107.17</v>
      </c>
    </row>
    <row r="833" ht="15.0" customHeight="1">
      <c r="A833" s="8">
        <v>791.0</v>
      </c>
      <c r="B833" s="9" t="s">
        <v>728</v>
      </c>
      <c r="C833" s="10" t="s">
        <v>862</v>
      </c>
      <c r="D833" s="8" t="s">
        <v>5</v>
      </c>
      <c r="E833" s="11">
        <v>3330.77</v>
      </c>
    </row>
    <row r="834" ht="15.0" customHeight="1">
      <c r="A834" s="4">
        <v>792.0</v>
      </c>
      <c r="B834" s="5" t="s">
        <v>728</v>
      </c>
      <c r="C834" s="6" t="s">
        <v>863</v>
      </c>
      <c r="D834" s="4" t="s">
        <v>5</v>
      </c>
      <c r="E834" s="7">
        <v>4441.05</v>
      </c>
    </row>
    <row r="835" ht="15.0" customHeight="1">
      <c r="A835" s="8">
        <v>317.0</v>
      </c>
      <c r="B835" s="9" t="s">
        <v>728</v>
      </c>
      <c r="C835" s="10" t="s">
        <v>864</v>
      </c>
      <c r="D835" s="8" t="s">
        <v>5</v>
      </c>
      <c r="E835" s="11">
        <v>4196.77</v>
      </c>
    </row>
    <row r="836" ht="15.0" customHeight="1">
      <c r="A836" s="4">
        <v>794.0</v>
      </c>
      <c r="B836" s="5" t="s">
        <v>728</v>
      </c>
      <c r="C836" s="6" t="s">
        <v>865</v>
      </c>
      <c r="D836" s="4" t="s">
        <v>5</v>
      </c>
      <c r="E836" s="7">
        <v>455.17</v>
      </c>
    </row>
    <row r="837" ht="15.0" customHeight="1">
      <c r="A837" s="8">
        <v>1623.0</v>
      </c>
      <c r="B837" s="9" t="s">
        <v>728</v>
      </c>
      <c r="C837" s="10" t="s">
        <v>866</v>
      </c>
      <c r="D837" s="8" t="s">
        <v>5</v>
      </c>
      <c r="E837" s="11">
        <v>8599.69</v>
      </c>
    </row>
    <row r="838" ht="15.0" customHeight="1">
      <c r="A838" s="4">
        <v>310.0</v>
      </c>
      <c r="B838" s="5" t="s">
        <v>728</v>
      </c>
      <c r="C838" s="6" t="s">
        <v>867</v>
      </c>
      <c r="D838" s="4" t="s">
        <v>5</v>
      </c>
      <c r="E838" s="7">
        <v>5773.34</v>
      </c>
    </row>
    <row r="839" ht="15.0" customHeight="1">
      <c r="A839" s="8">
        <v>312.0</v>
      </c>
      <c r="B839" s="9" t="s">
        <v>728</v>
      </c>
      <c r="C839" s="10" t="s">
        <v>868</v>
      </c>
      <c r="D839" s="8" t="s">
        <v>5</v>
      </c>
      <c r="E839" s="11">
        <v>4330.02</v>
      </c>
    </row>
    <row r="840" ht="15.0" customHeight="1">
      <c r="A840" s="4">
        <v>793.0</v>
      </c>
      <c r="B840" s="5" t="s">
        <v>728</v>
      </c>
      <c r="C840" s="6" t="s">
        <v>869</v>
      </c>
      <c r="D840" s="4" t="s">
        <v>5</v>
      </c>
      <c r="E840" s="7">
        <v>3530.61</v>
      </c>
    </row>
    <row r="841" ht="15.0" customHeight="1">
      <c r="A841" s="8">
        <v>1622.0</v>
      </c>
      <c r="B841" s="9" t="s">
        <v>728</v>
      </c>
      <c r="C841" s="10" t="s">
        <v>870</v>
      </c>
      <c r="D841" s="8" t="s">
        <v>5</v>
      </c>
      <c r="E841" s="11">
        <v>6449.77</v>
      </c>
    </row>
    <row r="842" ht="15.0" customHeight="1">
      <c r="A842" s="4">
        <v>326.0</v>
      </c>
      <c r="B842" s="5" t="s">
        <v>728</v>
      </c>
      <c r="C842" s="6" t="s">
        <v>871</v>
      </c>
      <c r="D842" s="4" t="s">
        <v>5</v>
      </c>
      <c r="E842" s="7">
        <v>7505.33</v>
      </c>
    </row>
    <row r="843" ht="15.0" customHeight="1">
      <c r="A843" s="8">
        <v>1651.0</v>
      </c>
      <c r="B843" s="9" t="s">
        <v>728</v>
      </c>
      <c r="C843" s="10" t="s">
        <v>872</v>
      </c>
      <c r="D843" s="8" t="s">
        <v>5</v>
      </c>
      <c r="E843" s="11">
        <v>0.0</v>
      </c>
    </row>
    <row r="844" ht="15.0" customHeight="1">
      <c r="A844" s="4">
        <v>841.0</v>
      </c>
      <c r="B844" s="5" t="s">
        <v>728</v>
      </c>
      <c r="C844" s="6" t="s">
        <v>873</v>
      </c>
      <c r="D844" s="4" t="s">
        <v>5</v>
      </c>
      <c r="E844" s="7">
        <v>4973.95</v>
      </c>
    </row>
    <row r="845" ht="15.0" customHeight="1">
      <c r="A845" s="8">
        <v>1743.0</v>
      </c>
      <c r="B845" s="9" t="s">
        <v>728</v>
      </c>
      <c r="C845" s="10" t="s">
        <v>874</v>
      </c>
      <c r="D845" s="8" t="s">
        <v>5</v>
      </c>
      <c r="E845" s="11">
        <v>8488.85</v>
      </c>
    </row>
    <row r="846" ht="15.0" customHeight="1">
      <c r="A846" s="4">
        <v>1742.0</v>
      </c>
      <c r="B846" s="5" t="s">
        <v>728</v>
      </c>
      <c r="C846" s="6" t="s">
        <v>875</v>
      </c>
      <c r="D846" s="4" t="s">
        <v>5</v>
      </c>
      <c r="E846" s="7">
        <v>12733.27</v>
      </c>
    </row>
    <row r="847" ht="15.0" customHeight="1">
      <c r="A847" s="8">
        <v>1741.0</v>
      </c>
      <c r="B847" s="9" t="s">
        <v>728</v>
      </c>
      <c r="C847" s="10" t="s">
        <v>876</v>
      </c>
      <c r="D847" s="8" t="s">
        <v>5</v>
      </c>
      <c r="E847" s="11">
        <v>19099.91</v>
      </c>
    </row>
    <row r="848" ht="15.0" customHeight="1">
      <c r="A848" s="4">
        <v>789.0</v>
      </c>
      <c r="B848" s="5" t="s">
        <v>728</v>
      </c>
      <c r="C848" s="6" t="s">
        <v>877</v>
      </c>
      <c r="D848" s="4" t="s">
        <v>5</v>
      </c>
      <c r="E848" s="7">
        <v>1976.26</v>
      </c>
    </row>
    <row r="849" ht="15.0" customHeight="1">
      <c r="A849" s="8">
        <v>334.0</v>
      </c>
      <c r="B849" s="9" t="s">
        <v>728</v>
      </c>
      <c r="C849" s="10" t="s">
        <v>878</v>
      </c>
      <c r="D849" s="8" t="s">
        <v>5</v>
      </c>
      <c r="E849" s="11">
        <v>1348321.36</v>
      </c>
    </row>
    <row r="850" ht="15.0" customHeight="1">
      <c r="A850" s="4">
        <v>333.0</v>
      </c>
      <c r="B850" s="5" t="s">
        <v>728</v>
      </c>
      <c r="C850" s="6" t="s">
        <v>879</v>
      </c>
      <c r="D850" s="4" t="s">
        <v>5</v>
      </c>
      <c r="E850" s="7">
        <v>134474.54</v>
      </c>
    </row>
    <row r="851" ht="15.0" customHeight="1">
      <c r="A851" s="8">
        <v>337.0</v>
      </c>
      <c r="B851" s="9" t="s">
        <v>728</v>
      </c>
      <c r="C851" s="10" t="s">
        <v>880</v>
      </c>
      <c r="D851" s="8" t="s">
        <v>5</v>
      </c>
      <c r="E851" s="11">
        <v>2931079.28</v>
      </c>
    </row>
    <row r="852" ht="15.0" customHeight="1">
      <c r="A852" s="4">
        <v>336.0</v>
      </c>
      <c r="B852" s="5" t="s">
        <v>728</v>
      </c>
      <c r="C852" s="6" t="s">
        <v>881</v>
      </c>
      <c r="D852" s="4" t="s">
        <v>5</v>
      </c>
      <c r="E852" s="7">
        <v>4885132.08</v>
      </c>
    </row>
    <row r="853" ht="15.0" customHeight="1">
      <c r="A853" s="8">
        <v>199.0</v>
      </c>
      <c r="B853" s="9" t="s">
        <v>728</v>
      </c>
      <c r="C853" s="10" t="s">
        <v>882</v>
      </c>
      <c r="D853" s="8" t="s">
        <v>5</v>
      </c>
      <c r="E853" s="11">
        <v>9659.24</v>
      </c>
    </row>
    <row r="854" ht="15.0" customHeight="1">
      <c r="A854" s="4">
        <v>1656.0</v>
      </c>
      <c r="B854" s="5" t="s">
        <v>728</v>
      </c>
      <c r="C854" s="6" t="s">
        <v>883</v>
      </c>
      <c r="D854" s="4" t="s">
        <v>5</v>
      </c>
      <c r="E854" s="7">
        <v>8795.13</v>
      </c>
    </row>
    <row r="855" ht="15.0" customHeight="1">
      <c r="A855" s="8">
        <v>1616.0</v>
      </c>
      <c r="B855" s="9" t="s">
        <v>728</v>
      </c>
      <c r="C855" s="10" t="s">
        <v>884</v>
      </c>
      <c r="D855" s="8" t="s">
        <v>5</v>
      </c>
      <c r="E855" s="11">
        <v>2345.39</v>
      </c>
    </row>
    <row r="856" ht="15.0" customHeight="1">
      <c r="A856" s="4">
        <v>1683.0</v>
      </c>
      <c r="B856" s="5" t="s">
        <v>728</v>
      </c>
      <c r="C856" s="6" t="s">
        <v>885</v>
      </c>
      <c r="D856" s="4" t="s">
        <v>5</v>
      </c>
      <c r="E856" s="7">
        <v>237469.0</v>
      </c>
    </row>
    <row r="857" ht="15.0" customHeight="1">
      <c r="A857" s="8">
        <v>1652.0</v>
      </c>
      <c r="B857" s="9" t="s">
        <v>728</v>
      </c>
      <c r="C857" s="10" t="s">
        <v>886</v>
      </c>
      <c r="D857" s="8" t="s">
        <v>5</v>
      </c>
      <c r="E857" s="11">
        <v>464188.38</v>
      </c>
    </row>
    <row r="858" ht="15.0" customHeight="1">
      <c r="A858" s="4">
        <v>240.0</v>
      </c>
      <c r="B858" s="5" t="s">
        <v>728</v>
      </c>
      <c r="C858" s="6" t="s">
        <v>887</v>
      </c>
      <c r="D858" s="4" t="s">
        <v>76</v>
      </c>
      <c r="E858" s="7">
        <v>17097.99</v>
      </c>
    </row>
    <row r="859" ht="15.0" customHeight="1">
      <c r="A859" s="8">
        <v>1663.0</v>
      </c>
      <c r="B859" s="9" t="s">
        <v>728</v>
      </c>
      <c r="C859" s="10" t="s">
        <v>888</v>
      </c>
      <c r="D859" s="8" t="s">
        <v>5</v>
      </c>
      <c r="E859" s="11">
        <v>30489.86</v>
      </c>
    </row>
    <row r="860" ht="15.0" customHeight="1">
      <c r="A860" s="4">
        <v>1626.0</v>
      </c>
      <c r="B860" s="5" t="s">
        <v>728</v>
      </c>
      <c r="C860" s="6" t="s">
        <v>889</v>
      </c>
      <c r="D860" s="4" t="s">
        <v>5</v>
      </c>
      <c r="E860" s="7">
        <v>7622.47</v>
      </c>
    </row>
    <row r="861" ht="15.0" customHeight="1">
      <c r="A861" s="8">
        <v>1619.0</v>
      </c>
      <c r="B861" s="9" t="s">
        <v>728</v>
      </c>
      <c r="C861" s="10" t="s">
        <v>890</v>
      </c>
      <c r="D861" s="8" t="s">
        <v>5</v>
      </c>
      <c r="E861" s="11">
        <v>3166.27</v>
      </c>
    </row>
    <row r="862" ht="15.0" customHeight="1">
      <c r="A862" s="4">
        <v>796.0</v>
      </c>
      <c r="B862" s="5" t="s">
        <v>728</v>
      </c>
      <c r="C862" s="6" t="s">
        <v>891</v>
      </c>
      <c r="D862" s="4" t="s">
        <v>5</v>
      </c>
      <c r="E862" s="7">
        <v>1332.29</v>
      </c>
    </row>
    <row r="863" ht="15.0" customHeight="1">
      <c r="A863" s="8">
        <v>1620.0</v>
      </c>
      <c r="B863" s="9" t="s">
        <v>728</v>
      </c>
      <c r="C863" s="10" t="s">
        <v>892</v>
      </c>
      <c r="D863" s="8" t="s">
        <v>5</v>
      </c>
      <c r="E863" s="11">
        <v>2149.94</v>
      </c>
    </row>
    <row r="864" ht="15.0" customHeight="1">
      <c r="A864" s="4">
        <v>1608.0</v>
      </c>
      <c r="B864" s="5" t="s">
        <v>728</v>
      </c>
      <c r="C864" s="6" t="s">
        <v>893</v>
      </c>
      <c r="D864" s="4" t="s">
        <v>5</v>
      </c>
      <c r="E864" s="7">
        <v>20521.99</v>
      </c>
    </row>
    <row r="865" ht="15.0" customHeight="1">
      <c r="A865" s="8">
        <v>1614.0</v>
      </c>
      <c r="B865" s="9" t="s">
        <v>728</v>
      </c>
      <c r="C865" s="10" t="s">
        <v>894</v>
      </c>
      <c r="D865" s="8" t="s">
        <v>5</v>
      </c>
      <c r="E865" s="11">
        <v>3693.96</v>
      </c>
    </row>
    <row r="866" ht="15.0" customHeight="1">
      <c r="A866" s="4">
        <v>1654.0</v>
      </c>
      <c r="B866" s="5" t="s">
        <v>728</v>
      </c>
      <c r="C866" s="6" t="s">
        <v>895</v>
      </c>
      <c r="D866" s="4" t="s">
        <v>5</v>
      </c>
      <c r="E866" s="7">
        <v>123604.75</v>
      </c>
    </row>
    <row r="867" ht="15.0" customHeight="1">
      <c r="A867" s="8">
        <v>1612.0</v>
      </c>
      <c r="B867" s="9" t="s">
        <v>728</v>
      </c>
      <c r="C867" s="10" t="s">
        <v>896</v>
      </c>
      <c r="D867" s="8" t="s">
        <v>5</v>
      </c>
      <c r="E867" s="11">
        <v>13485.87</v>
      </c>
    </row>
    <row r="868" ht="15.0" customHeight="1">
      <c r="A868" s="4">
        <v>1655.0</v>
      </c>
      <c r="B868" s="5" t="s">
        <v>728</v>
      </c>
      <c r="C868" s="6" t="s">
        <v>897</v>
      </c>
      <c r="D868" s="4" t="s">
        <v>5</v>
      </c>
      <c r="E868" s="7">
        <v>61370.61</v>
      </c>
    </row>
    <row r="869" ht="15.0" customHeight="1">
      <c r="A869" s="8">
        <v>709.0</v>
      </c>
      <c r="B869" s="9" t="s">
        <v>898</v>
      </c>
      <c r="C869" s="10" t="s">
        <v>899</v>
      </c>
      <c r="D869" s="8" t="s">
        <v>5</v>
      </c>
      <c r="E869" s="11">
        <v>1676.3</v>
      </c>
    </row>
    <row r="870" ht="15.0" customHeight="1">
      <c r="A870" s="4">
        <v>710.0</v>
      </c>
      <c r="B870" s="5" t="s">
        <v>898</v>
      </c>
      <c r="C870" s="6" t="s">
        <v>900</v>
      </c>
      <c r="D870" s="4" t="s">
        <v>5</v>
      </c>
      <c r="E870" s="7">
        <v>3501.16</v>
      </c>
    </row>
    <row r="871" ht="15.0" customHeight="1">
      <c r="A871" s="8">
        <v>932.0</v>
      </c>
      <c r="B871" s="9" t="s">
        <v>898</v>
      </c>
      <c r="C871" s="10" t="s">
        <v>901</v>
      </c>
      <c r="D871" s="8" t="s">
        <v>5</v>
      </c>
      <c r="E871" s="11">
        <v>1803.59</v>
      </c>
    </row>
    <row r="872" ht="15.0" customHeight="1">
      <c r="A872" s="4">
        <v>921.0</v>
      </c>
      <c r="B872" s="5" t="s">
        <v>898</v>
      </c>
      <c r="C872" s="6" t="s">
        <v>902</v>
      </c>
      <c r="D872" s="4" t="s">
        <v>5</v>
      </c>
      <c r="E872" s="7">
        <v>7426.61</v>
      </c>
    </row>
    <row r="873" ht="15.0" customHeight="1">
      <c r="A873" s="8">
        <v>1010.0</v>
      </c>
      <c r="B873" s="9" t="s">
        <v>898</v>
      </c>
      <c r="C873" s="10" t="s">
        <v>903</v>
      </c>
      <c r="D873" s="8" t="s">
        <v>5</v>
      </c>
      <c r="E873" s="11">
        <v>9548.46</v>
      </c>
    </row>
    <row r="874" ht="15.0" customHeight="1">
      <c r="A874" s="4">
        <v>651.0</v>
      </c>
      <c r="B874" s="5" t="s">
        <v>898</v>
      </c>
      <c r="C874" s="6" t="s">
        <v>904</v>
      </c>
      <c r="D874" s="4" t="s">
        <v>5</v>
      </c>
      <c r="E874" s="7">
        <v>6365.65</v>
      </c>
    </row>
    <row r="875" ht="15.0" customHeight="1">
      <c r="A875" s="8">
        <v>920.0</v>
      </c>
      <c r="B875" s="9" t="s">
        <v>898</v>
      </c>
      <c r="C875" s="10" t="s">
        <v>905</v>
      </c>
      <c r="D875" s="8" t="s">
        <v>5</v>
      </c>
      <c r="E875" s="11">
        <v>3501.16</v>
      </c>
    </row>
    <row r="876" ht="15.0" customHeight="1">
      <c r="A876" s="4">
        <v>1008.0</v>
      </c>
      <c r="B876" s="5" t="s">
        <v>898</v>
      </c>
      <c r="C876" s="6" t="s">
        <v>906</v>
      </c>
      <c r="D876" s="4" t="s">
        <v>5</v>
      </c>
      <c r="E876" s="7">
        <v>4010.34</v>
      </c>
    </row>
    <row r="877" ht="15.0" customHeight="1">
      <c r="A877" s="8">
        <v>650.0</v>
      </c>
      <c r="B877" s="9" t="s">
        <v>898</v>
      </c>
      <c r="C877" s="10" t="s">
        <v>907</v>
      </c>
      <c r="D877" s="8" t="s">
        <v>5</v>
      </c>
      <c r="E877" s="11">
        <v>2970.67</v>
      </c>
    </row>
    <row r="878" ht="15.0" customHeight="1">
      <c r="A878" s="4">
        <v>707.0</v>
      </c>
      <c r="B878" s="5" t="s">
        <v>898</v>
      </c>
      <c r="C878" s="6" t="s">
        <v>908</v>
      </c>
      <c r="D878" s="4" t="s">
        <v>5</v>
      </c>
      <c r="E878" s="7">
        <v>4943.96</v>
      </c>
    </row>
    <row r="879" ht="15.0" customHeight="1">
      <c r="A879" s="8">
        <v>692.0</v>
      </c>
      <c r="B879" s="9" t="s">
        <v>898</v>
      </c>
      <c r="C879" s="10" t="s">
        <v>909</v>
      </c>
      <c r="D879" s="8" t="s">
        <v>5</v>
      </c>
      <c r="E879" s="11">
        <v>3904.26</v>
      </c>
    </row>
    <row r="880" ht="15.0" customHeight="1">
      <c r="A880" s="4">
        <v>655.0</v>
      </c>
      <c r="B880" s="5" t="s">
        <v>898</v>
      </c>
      <c r="C880" s="6" t="s">
        <v>910</v>
      </c>
      <c r="D880" s="4" t="s">
        <v>5</v>
      </c>
      <c r="E880" s="7">
        <v>26523.52</v>
      </c>
    </row>
    <row r="881" ht="15.0" customHeight="1">
      <c r="A881" s="8">
        <v>922.0</v>
      </c>
      <c r="B881" s="9" t="s">
        <v>898</v>
      </c>
      <c r="C881" s="10" t="s">
        <v>911</v>
      </c>
      <c r="D881" s="8" t="s">
        <v>5</v>
      </c>
      <c r="E881" s="11">
        <v>29281.97</v>
      </c>
    </row>
    <row r="882" ht="15.0" customHeight="1">
      <c r="A882" s="4">
        <v>1089.0</v>
      </c>
      <c r="B882" s="5" t="s">
        <v>898</v>
      </c>
      <c r="C882" s="6" t="s">
        <v>912</v>
      </c>
      <c r="D882" s="4" t="s">
        <v>5</v>
      </c>
      <c r="E882" s="7">
        <v>12943.46</v>
      </c>
    </row>
    <row r="883" ht="15.0" customHeight="1">
      <c r="A883" s="8">
        <v>1090.0</v>
      </c>
      <c r="B883" s="9" t="s">
        <v>898</v>
      </c>
      <c r="C883" s="10" t="s">
        <v>913</v>
      </c>
      <c r="D883" s="8" t="s">
        <v>5</v>
      </c>
      <c r="E883" s="11">
        <v>7957.04</v>
      </c>
    </row>
    <row r="884" ht="15.0" customHeight="1">
      <c r="A884" s="4">
        <v>652.0</v>
      </c>
      <c r="B884" s="5" t="s">
        <v>898</v>
      </c>
      <c r="C884" s="6" t="s">
        <v>914</v>
      </c>
      <c r="D884" s="4" t="s">
        <v>5</v>
      </c>
      <c r="E884" s="7">
        <v>1294.36</v>
      </c>
    </row>
    <row r="885" ht="15.0" customHeight="1">
      <c r="A885" s="8">
        <v>708.0</v>
      </c>
      <c r="B885" s="9" t="s">
        <v>898</v>
      </c>
      <c r="C885" s="10" t="s">
        <v>915</v>
      </c>
      <c r="D885" s="8" t="s">
        <v>5</v>
      </c>
      <c r="E885" s="11">
        <v>5432.02</v>
      </c>
    </row>
    <row r="886" ht="15.0" customHeight="1">
      <c r="A886" s="4">
        <v>653.0</v>
      </c>
      <c r="B886" s="5" t="s">
        <v>898</v>
      </c>
      <c r="C886" s="6" t="s">
        <v>916</v>
      </c>
      <c r="D886" s="4" t="s">
        <v>5</v>
      </c>
      <c r="E886" s="7">
        <v>3522.31</v>
      </c>
    </row>
    <row r="887" ht="15.0" customHeight="1">
      <c r="A887" s="8">
        <v>654.0</v>
      </c>
      <c r="B887" s="9" t="s">
        <v>898</v>
      </c>
      <c r="C887" s="10" t="s">
        <v>917</v>
      </c>
      <c r="D887" s="8" t="s">
        <v>5</v>
      </c>
      <c r="E887" s="11">
        <v>3713.29</v>
      </c>
    </row>
    <row r="888" ht="15.0" customHeight="1">
      <c r="A888" s="4">
        <v>931.0</v>
      </c>
      <c r="B888" s="5" t="s">
        <v>898</v>
      </c>
      <c r="C888" s="6" t="s">
        <v>918</v>
      </c>
      <c r="D888" s="4" t="s">
        <v>5</v>
      </c>
      <c r="E888" s="7">
        <v>3607.19</v>
      </c>
    </row>
    <row r="889" ht="15.0" customHeight="1">
      <c r="A889" s="8">
        <v>656.0</v>
      </c>
      <c r="B889" s="9" t="s">
        <v>898</v>
      </c>
      <c r="C889" s="10" t="s">
        <v>919</v>
      </c>
      <c r="D889" s="8" t="s">
        <v>5</v>
      </c>
      <c r="E889" s="11">
        <v>3395.02</v>
      </c>
    </row>
    <row r="890" ht="15.0" customHeight="1">
      <c r="A890" s="4">
        <v>657.0</v>
      </c>
      <c r="B890" s="5" t="s">
        <v>898</v>
      </c>
      <c r="C890" s="6" t="s">
        <v>920</v>
      </c>
      <c r="D890" s="4" t="s">
        <v>5</v>
      </c>
      <c r="E890" s="7">
        <v>4455.92</v>
      </c>
    </row>
    <row r="891" ht="15.0" customHeight="1">
      <c r="A891" s="8">
        <v>1011.0</v>
      </c>
      <c r="B891" s="9" t="s">
        <v>898</v>
      </c>
      <c r="C891" s="10" t="s">
        <v>921</v>
      </c>
      <c r="D891" s="8" t="s">
        <v>5</v>
      </c>
      <c r="E891" s="11">
        <v>10185.05</v>
      </c>
    </row>
    <row r="892" ht="15.0" customHeight="1">
      <c r="A892" s="4">
        <v>704.0</v>
      </c>
      <c r="B892" s="5" t="s">
        <v>898</v>
      </c>
      <c r="C892" s="6" t="s">
        <v>922</v>
      </c>
      <c r="D892" s="4" t="s">
        <v>5</v>
      </c>
      <c r="E892" s="7">
        <v>33101.38</v>
      </c>
    </row>
    <row r="893" ht="15.0" customHeight="1">
      <c r="A893" s="8">
        <v>645.0</v>
      </c>
      <c r="B893" s="9" t="s">
        <v>898</v>
      </c>
      <c r="C893" s="10" t="s">
        <v>923</v>
      </c>
      <c r="D893" s="8" t="s">
        <v>76</v>
      </c>
      <c r="E893" s="11">
        <v>8487.54</v>
      </c>
    </row>
    <row r="894" ht="15.0" customHeight="1">
      <c r="A894" s="4">
        <v>646.0</v>
      </c>
      <c r="B894" s="5" t="s">
        <v>898</v>
      </c>
      <c r="C894" s="6" t="s">
        <v>924</v>
      </c>
      <c r="D894" s="4" t="s">
        <v>76</v>
      </c>
      <c r="E894" s="7">
        <v>9548.46</v>
      </c>
    </row>
    <row r="895" ht="15.0" customHeight="1">
      <c r="A895" s="8">
        <v>647.0</v>
      </c>
      <c r="B895" s="9" t="s">
        <v>898</v>
      </c>
      <c r="C895" s="10" t="s">
        <v>925</v>
      </c>
      <c r="D895" s="8" t="s">
        <v>76</v>
      </c>
      <c r="E895" s="11">
        <v>5516.88</v>
      </c>
    </row>
    <row r="896" ht="15.0" customHeight="1">
      <c r="A896" s="4">
        <v>648.0</v>
      </c>
      <c r="B896" s="5" t="s">
        <v>898</v>
      </c>
      <c r="C896" s="6" t="s">
        <v>926</v>
      </c>
      <c r="D896" s="4" t="s">
        <v>76</v>
      </c>
      <c r="E896" s="7">
        <v>6790.06</v>
      </c>
    </row>
    <row r="897" ht="15.0" customHeight="1">
      <c r="A897" s="8">
        <v>649.0</v>
      </c>
      <c r="B897" s="9" t="s">
        <v>898</v>
      </c>
      <c r="C897" s="10" t="s">
        <v>927</v>
      </c>
      <c r="D897" s="8" t="s">
        <v>76</v>
      </c>
      <c r="E897" s="11">
        <v>8699.73</v>
      </c>
    </row>
    <row r="898" ht="15.0" customHeight="1">
      <c r="A898" s="4">
        <v>705.0</v>
      </c>
      <c r="B898" s="5" t="s">
        <v>898</v>
      </c>
      <c r="C898" s="6" t="s">
        <v>928</v>
      </c>
      <c r="D898" s="4" t="s">
        <v>76</v>
      </c>
      <c r="E898" s="7">
        <v>11882.52</v>
      </c>
    </row>
    <row r="899" ht="15.0" customHeight="1">
      <c r="A899" s="8">
        <v>1012.0</v>
      </c>
      <c r="B899" s="9" t="s">
        <v>898</v>
      </c>
      <c r="C899" s="10" t="s">
        <v>929</v>
      </c>
      <c r="D899" s="8" t="s">
        <v>76</v>
      </c>
      <c r="E899" s="11">
        <v>11670.38</v>
      </c>
    </row>
    <row r="900" ht="15.0" customHeight="1">
      <c r="A900" s="4">
        <v>1013.0</v>
      </c>
      <c r="B900" s="5" t="s">
        <v>898</v>
      </c>
      <c r="C900" s="6" t="s">
        <v>930</v>
      </c>
      <c r="D900" s="4" t="s">
        <v>76</v>
      </c>
      <c r="E900" s="7">
        <v>14216.61</v>
      </c>
    </row>
    <row r="901" ht="15.0" customHeight="1">
      <c r="A901" s="8">
        <v>1014.0</v>
      </c>
      <c r="B901" s="9" t="s">
        <v>898</v>
      </c>
      <c r="C901" s="10" t="s">
        <v>931</v>
      </c>
      <c r="D901" s="8" t="s">
        <v>76</v>
      </c>
      <c r="E901" s="11">
        <v>19096.94</v>
      </c>
    </row>
    <row r="902" ht="15.0" customHeight="1">
      <c r="A902" s="4">
        <v>912.0</v>
      </c>
      <c r="B902" s="5" t="s">
        <v>898</v>
      </c>
      <c r="C902" s="6" t="s">
        <v>932</v>
      </c>
      <c r="D902" s="4" t="s">
        <v>5</v>
      </c>
      <c r="E902" s="7">
        <v>4455.92</v>
      </c>
    </row>
    <row r="903" ht="15.0" customHeight="1">
      <c r="A903" s="8">
        <v>930.0</v>
      </c>
      <c r="B903" s="9" t="s">
        <v>898</v>
      </c>
      <c r="C903" s="10" t="s">
        <v>933</v>
      </c>
      <c r="D903" s="8" t="s">
        <v>5</v>
      </c>
      <c r="E903" s="11">
        <v>36496.36</v>
      </c>
    </row>
    <row r="904" ht="15.0" customHeight="1">
      <c r="A904" s="4">
        <v>1412.0</v>
      </c>
      <c r="B904" s="5" t="s">
        <v>898</v>
      </c>
      <c r="C904" s="6" t="s">
        <v>934</v>
      </c>
      <c r="D904" s="4" t="s">
        <v>5</v>
      </c>
      <c r="E904" s="7">
        <v>7146.59</v>
      </c>
    </row>
    <row r="905" ht="15.0" customHeight="1">
      <c r="A905" s="8">
        <v>658.0</v>
      </c>
      <c r="B905" s="9" t="s">
        <v>898</v>
      </c>
      <c r="C905" s="10" t="s">
        <v>935</v>
      </c>
      <c r="D905" s="8" t="s">
        <v>5</v>
      </c>
      <c r="E905" s="11">
        <v>1167.01</v>
      </c>
    </row>
    <row r="906" ht="15.0" customHeight="1">
      <c r="A906" s="4">
        <v>712.0</v>
      </c>
      <c r="B906" s="5" t="s">
        <v>898</v>
      </c>
      <c r="C906" s="6" t="s">
        <v>936</v>
      </c>
      <c r="D906" s="4" t="s">
        <v>5</v>
      </c>
      <c r="E906" s="7">
        <v>1294.36</v>
      </c>
    </row>
    <row r="907" ht="15.0" customHeight="1">
      <c r="A907" s="8">
        <v>1009.0</v>
      </c>
      <c r="B907" s="9" t="s">
        <v>898</v>
      </c>
      <c r="C907" s="10" t="s">
        <v>937</v>
      </c>
      <c r="D907" s="8" t="s">
        <v>5</v>
      </c>
      <c r="E907" s="11">
        <v>1867.23</v>
      </c>
    </row>
    <row r="908" ht="15.0" customHeight="1">
      <c r="A908" s="4">
        <v>711.0</v>
      </c>
      <c r="B908" s="5" t="s">
        <v>898</v>
      </c>
      <c r="C908" s="6" t="s">
        <v>938</v>
      </c>
      <c r="D908" s="4" t="s">
        <v>5</v>
      </c>
      <c r="E908" s="7">
        <v>26523.52</v>
      </c>
    </row>
    <row r="909" ht="15.0" customHeight="1">
      <c r="A909" s="8">
        <v>706.0</v>
      </c>
      <c r="B909" s="9" t="s">
        <v>898</v>
      </c>
      <c r="C909" s="10" t="s">
        <v>939</v>
      </c>
      <c r="D909" s="8" t="s">
        <v>5</v>
      </c>
      <c r="E909" s="11">
        <v>49652.06</v>
      </c>
    </row>
    <row r="910" ht="15.0" customHeight="1">
      <c r="A910" s="4">
        <v>1444.0</v>
      </c>
      <c r="B910" s="5" t="s">
        <v>898</v>
      </c>
      <c r="C910" s="6" t="s">
        <v>940</v>
      </c>
      <c r="D910" s="4" t="s">
        <v>5</v>
      </c>
      <c r="E910" s="7">
        <v>189928.18</v>
      </c>
    </row>
    <row r="911" ht="15.0" customHeight="1">
      <c r="A911" s="8">
        <v>1433.0</v>
      </c>
      <c r="B911" s="9" t="s">
        <v>898</v>
      </c>
      <c r="C911" s="10" t="s">
        <v>941</v>
      </c>
      <c r="D911" s="8" t="s">
        <v>5</v>
      </c>
      <c r="E911" s="11">
        <v>164099.49</v>
      </c>
    </row>
    <row r="912" ht="15.0" customHeight="1">
      <c r="A912" s="4">
        <v>1407.0</v>
      </c>
      <c r="B912" s="5" t="s">
        <v>898</v>
      </c>
      <c r="C912" s="6" t="s">
        <v>942</v>
      </c>
      <c r="D912" s="4" t="s">
        <v>5</v>
      </c>
      <c r="E912" s="7">
        <v>20391.06</v>
      </c>
    </row>
    <row r="913" ht="15.0" customHeight="1">
      <c r="A913" s="8">
        <v>933.0</v>
      </c>
      <c r="B913" s="9" t="s">
        <v>898</v>
      </c>
      <c r="C913" s="10" t="s">
        <v>943</v>
      </c>
      <c r="D913" s="8" t="s">
        <v>5</v>
      </c>
      <c r="E913" s="11">
        <v>11882.52</v>
      </c>
    </row>
    <row r="914" ht="15.0" customHeight="1">
      <c r="A914" s="4">
        <v>1437.0</v>
      </c>
      <c r="B914" s="5" t="s">
        <v>898</v>
      </c>
      <c r="C914" s="6" t="s">
        <v>944</v>
      </c>
      <c r="D914" s="4" t="s">
        <v>5</v>
      </c>
      <c r="E914" s="7">
        <v>815642.44</v>
      </c>
    </row>
    <row r="915" ht="15.0" customHeight="1">
      <c r="A915" s="8">
        <v>1435.0</v>
      </c>
      <c r="B915" s="9" t="s">
        <v>898</v>
      </c>
      <c r="C915" s="10" t="s">
        <v>945</v>
      </c>
      <c r="D915" s="8" t="s">
        <v>5</v>
      </c>
      <c r="E915" s="11">
        <v>155984.39</v>
      </c>
    </row>
    <row r="916" ht="15.0" customHeight="1">
      <c r="A916" s="4">
        <v>1434.0</v>
      </c>
      <c r="B916" s="5" t="s">
        <v>898</v>
      </c>
      <c r="C916" s="6" t="s">
        <v>946</v>
      </c>
      <c r="D916" s="4" t="s">
        <v>5</v>
      </c>
      <c r="E916" s="7">
        <v>114578.36</v>
      </c>
    </row>
    <row r="917" ht="15.0" customHeight="1">
      <c r="A917" s="8">
        <v>428.0</v>
      </c>
      <c r="B917" s="9" t="s">
        <v>898</v>
      </c>
      <c r="C917" s="10" t="s">
        <v>947</v>
      </c>
      <c r="D917" s="8" t="s">
        <v>5</v>
      </c>
      <c r="E917" s="11">
        <v>20794.44</v>
      </c>
    </row>
    <row r="918" ht="15.0" customHeight="1">
      <c r="A918" s="4">
        <v>429.0</v>
      </c>
      <c r="B918" s="5" t="s">
        <v>898</v>
      </c>
      <c r="C918" s="6" t="s">
        <v>948</v>
      </c>
      <c r="D918" s="4" t="s">
        <v>5</v>
      </c>
      <c r="E918" s="7">
        <v>26523.52</v>
      </c>
    </row>
    <row r="919" ht="15.0" customHeight="1">
      <c r="A919" s="8">
        <v>699.0</v>
      </c>
      <c r="B919" s="9" t="s">
        <v>898</v>
      </c>
      <c r="C919" s="10" t="s">
        <v>949</v>
      </c>
      <c r="D919" s="8" t="s">
        <v>5</v>
      </c>
      <c r="E919" s="11">
        <v>26523.52</v>
      </c>
    </row>
    <row r="920" ht="15.0" customHeight="1">
      <c r="A920" s="4">
        <v>963.0</v>
      </c>
      <c r="B920" s="5" t="s">
        <v>898</v>
      </c>
      <c r="C920" s="6" t="s">
        <v>950</v>
      </c>
      <c r="D920" s="4" t="s">
        <v>5</v>
      </c>
      <c r="E920" s="7">
        <v>30130.72</v>
      </c>
    </row>
    <row r="921" ht="15.0" customHeight="1">
      <c r="A921" s="8">
        <v>1413.0</v>
      </c>
      <c r="B921" s="9" t="s">
        <v>898</v>
      </c>
      <c r="C921" s="10" t="s">
        <v>951</v>
      </c>
      <c r="D921" s="8" t="s">
        <v>5</v>
      </c>
      <c r="E921" s="11">
        <v>13982.48</v>
      </c>
    </row>
    <row r="922" ht="15.0" customHeight="1">
      <c r="A922" s="4">
        <v>1447.0</v>
      </c>
      <c r="B922" s="5" t="s">
        <v>898</v>
      </c>
      <c r="C922" s="6" t="s">
        <v>952</v>
      </c>
      <c r="D922" s="4" t="s">
        <v>5</v>
      </c>
      <c r="E922" s="7">
        <v>46219.75</v>
      </c>
    </row>
    <row r="923" ht="15.0" customHeight="1">
      <c r="A923" s="8">
        <v>448.0</v>
      </c>
      <c r="B923" s="9" t="s">
        <v>898</v>
      </c>
      <c r="C923" s="10" t="s">
        <v>953</v>
      </c>
      <c r="D923" s="8" t="s">
        <v>5</v>
      </c>
      <c r="E923" s="11">
        <v>41376.72</v>
      </c>
    </row>
    <row r="924" ht="15.0" customHeight="1">
      <c r="A924" s="4">
        <v>447.0</v>
      </c>
      <c r="B924" s="5" t="s">
        <v>898</v>
      </c>
      <c r="C924" s="6" t="s">
        <v>954</v>
      </c>
      <c r="D924" s="4" t="s">
        <v>5</v>
      </c>
      <c r="E924" s="7">
        <v>51137.38</v>
      </c>
    </row>
    <row r="925" ht="15.0" customHeight="1">
      <c r="A925" s="8">
        <v>526.0</v>
      </c>
      <c r="B925" s="9" t="s">
        <v>898</v>
      </c>
      <c r="C925" s="10" t="s">
        <v>955</v>
      </c>
      <c r="D925" s="8" t="s">
        <v>5</v>
      </c>
      <c r="E925" s="11">
        <v>11882.52</v>
      </c>
    </row>
    <row r="926" ht="15.0" customHeight="1">
      <c r="A926" s="4">
        <v>527.0</v>
      </c>
      <c r="B926" s="5" t="s">
        <v>898</v>
      </c>
      <c r="C926" s="6" t="s">
        <v>956</v>
      </c>
      <c r="D926" s="4" t="s">
        <v>5</v>
      </c>
      <c r="E926" s="7">
        <v>12943.46</v>
      </c>
    </row>
    <row r="927" ht="15.0" customHeight="1">
      <c r="A927" s="8">
        <v>305.0</v>
      </c>
      <c r="B927" s="9" t="s">
        <v>898</v>
      </c>
      <c r="C927" s="10" t="s">
        <v>957</v>
      </c>
      <c r="D927" s="8" t="s">
        <v>5</v>
      </c>
      <c r="E927" s="11">
        <v>215371.06</v>
      </c>
    </row>
    <row r="928" ht="15.0" customHeight="1">
      <c r="A928" s="4">
        <v>303.0</v>
      </c>
      <c r="B928" s="5" t="s">
        <v>898</v>
      </c>
      <c r="C928" s="6" t="s">
        <v>958</v>
      </c>
      <c r="D928" s="4" t="s">
        <v>5</v>
      </c>
      <c r="E928" s="7">
        <v>185876.82</v>
      </c>
    </row>
    <row r="929" ht="15.0" customHeight="1">
      <c r="A929" s="8">
        <v>302.0</v>
      </c>
      <c r="B929" s="9" t="s">
        <v>898</v>
      </c>
      <c r="C929" s="10" t="s">
        <v>959</v>
      </c>
      <c r="D929" s="8" t="s">
        <v>5</v>
      </c>
      <c r="E929" s="11">
        <v>149380.51</v>
      </c>
    </row>
    <row r="930" ht="15.0" customHeight="1">
      <c r="A930" s="4">
        <v>298.0</v>
      </c>
      <c r="B930" s="5" t="s">
        <v>898</v>
      </c>
      <c r="C930" s="6" t="s">
        <v>960</v>
      </c>
      <c r="D930" s="4" t="s">
        <v>5</v>
      </c>
      <c r="E930" s="7">
        <v>82753.4</v>
      </c>
    </row>
    <row r="931" ht="15.0" customHeight="1">
      <c r="A931" s="8">
        <v>307.0</v>
      </c>
      <c r="B931" s="9" t="s">
        <v>898</v>
      </c>
      <c r="C931" s="10" t="s">
        <v>961</v>
      </c>
      <c r="D931" s="8" t="s">
        <v>5</v>
      </c>
      <c r="E931" s="11">
        <v>304490.08</v>
      </c>
    </row>
    <row r="932" ht="15.0" customHeight="1">
      <c r="A932" s="4">
        <v>300.0</v>
      </c>
      <c r="B932" s="5" t="s">
        <v>898</v>
      </c>
      <c r="C932" s="6" t="s">
        <v>962</v>
      </c>
      <c r="D932" s="4" t="s">
        <v>5</v>
      </c>
      <c r="E932" s="7">
        <v>102911.27</v>
      </c>
    </row>
    <row r="933" ht="15.0" customHeight="1">
      <c r="A933" s="8">
        <v>309.0</v>
      </c>
      <c r="B933" s="9" t="s">
        <v>898</v>
      </c>
      <c r="C933" s="10" t="s">
        <v>963</v>
      </c>
      <c r="D933" s="8" t="s">
        <v>5</v>
      </c>
      <c r="E933" s="11">
        <v>4455.92</v>
      </c>
    </row>
    <row r="934" ht="15.0" customHeight="1">
      <c r="A934" s="4">
        <v>314.0</v>
      </c>
      <c r="B934" s="5" t="s">
        <v>898</v>
      </c>
      <c r="C934" s="6" t="s">
        <v>964</v>
      </c>
      <c r="D934" s="4" t="s">
        <v>5</v>
      </c>
      <c r="E934" s="7">
        <v>4880.35</v>
      </c>
    </row>
    <row r="935" ht="15.0" customHeight="1">
      <c r="A935" s="8">
        <v>311.0</v>
      </c>
      <c r="B935" s="9" t="s">
        <v>898</v>
      </c>
      <c r="C935" s="10" t="s">
        <v>965</v>
      </c>
      <c r="D935" s="8" t="s">
        <v>5</v>
      </c>
      <c r="E935" s="11">
        <v>6662.67</v>
      </c>
    </row>
    <row r="936" ht="15.0" customHeight="1">
      <c r="A936" s="4">
        <v>316.0</v>
      </c>
      <c r="B936" s="5" t="s">
        <v>898</v>
      </c>
      <c r="C936" s="6" t="s">
        <v>966</v>
      </c>
      <c r="D936" s="4" t="s">
        <v>5</v>
      </c>
      <c r="E936" s="7">
        <v>7850.96</v>
      </c>
    </row>
    <row r="937" ht="15.0" customHeight="1">
      <c r="A937" s="8">
        <v>321.0</v>
      </c>
      <c r="B937" s="9" t="s">
        <v>898</v>
      </c>
      <c r="C937" s="10" t="s">
        <v>967</v>
      </c>
      <c r="D937" s="8" t="s">
        <v>5</v>
      </c>
      <c r="E937" s="11">
        <v>3501.16</v>
      </c>
    </row>
    <row r="938" ht="15.0" customHeight="1">
      <c r="A938" s="4">
        <v>322.0</v>
      </c>
      <c r="B938" s="5" t="s">
        <v>898</v>
      </c>
      <c r="C938" s="6" t="s">
        <v>968</v>
      </c>
      <c r="D938" s="4" t="s">
        <v>5</v>
      </c>
      <c r="E938" s="7">
        <v>6365.65</v>
      </c>
    </row>
    <row r="939" ht="15.0" customHeight="1">
      <c r="A939" s="8">
        <v>318.0</v>
      </c>
      <c r="B939" s="9" t="s">
        <v>898</v>
      </c>
      <c r="C939" s="10" t="s">
        <v>969</v>
      </c>
      <c r="D939" s="8" t="s">
        <v>5</v>
      </c>
      <c r="E939" s="11">
        <v>4774.29</v>
      </c>
    </row>
    <row r="940" ht="15.0" customHeight="1">
      <c r="A940" s="4">
        <v>319.0</v>
      </c>
      <c r="B940" s="5" t="s">
        <v>898</v>
      </c>
      <c r="C940" s="6" t="s">
        <v>970</v>
      </c>
      <c r="D940" s="4" t="s">
        <v>5</v>
      </c>
      <c r="E940" s="7">
        <v>6153.48</v>
      </c>
    </row>
    <row r="941" ht="15.0" customHeight="1">
      <c r="A941" s="8">
        <v>324.0</v>
      </c>
      <c r="B941" s="9" t="s">
        <v>898</v>
      </c>
      <c r="C941" s="10" t="s">
        <v>971</v>
      </c>
      <c r="D941" s="8" t="s">
        <v>5</v>
      </c>
      <c r="E941" s="11">
        <v>12519.08</v>
      </c>
    </row>
    <row r="942" ht="15.0" customHeight="1">
      <c r="A942" s="4">
        <v>325.0</v>
      </c>
      <c r="B942" s="5" t="s">
        <v>898</v>
      </c>
      <c r="C942" s="6" t="s">
        <v>972</v>
      </c>
      <c r="D942" s="4" t="s">
        <v>5</v>
      </c>
      <c r="E942" s="7">
        <v>15914.13</v>
      </c>
    </row>
    <row r="943" ht="15.0" customHeight="1">
      <c r="A943" s="8">
        <v>358.0</v>
      </c>
      <c r="B943" s="9" t="s">
        <v>898</v>
      </c>
      <c r="C943" s="10" t="s">
        <v>973</v>
      </c>
      <c r="D943" s="8" t="s">
        <v>76</v>
      </c>
      <c r="E943" s="11">
        <v>67900.2</v>
      </c>
    </row>
    <row r="944" ht="15.0" customHeight="1">
      <c r="A944" s="4">
        <v>356.0</v>
      </c>
      <c r="B944" s="5" t="s">
        <v>898</v>
      </c>
      <c r="C944" s="6" t="s">
        <v>974</v>
      </c>
      <c r="D944" s="4" t="s">
        <v>76</v>
      </c>
      <c r="E944" s="7">
        <v>45620.46</v>
      </c>
    </row>
    <row r="945" ht="15.0" customHeight="1">
      <c r="A945" s="8">
        <v>357.0</v>
      </c>
      <c r="B945" s="9" t="s">
        <v>898</v>
      </c>
      <c r="C945" s="10" t="s">
        <v>975</v>
      </c>
      <c r="D945" s="8" t="s">
        <v>76</v>
      </c>
      <c r="E945" s="11">
        <v>49652.06</v>
      </c>
    </row>
    <row r="946" ht="15.0" customHeight="1">
      <c r="A946" s="4">
        <v>355.0</v>
      </c>
      <c r="B946" s="5" t="s">
        <v>898</v>
      </c>
      <c r="C946" s="6" t="s">
        <v>976</v>
      </c>
      <c r="D946" s="4" t="s">
        <v>76</v>
      </c>
      <c r="E946" s="7">
        <v>35011.04</v>
      </c>
    </row>
    <row r="947" ht="15.0" customHeight="1">
      <c r="A947" s="8">
        <v>364.0</v>
      </c>
      <c r="B947" s="9" t="s">
        <v>898</v>
      </c>
      <c r="C947" s="10" t="s">
        <v>977</v>
      </c>
      <c r="D947" s="8" t="s">
        <v>5</v>
      </c>
      <c r="E947" s="11">
        <v>7002.25</v>
      </c>
    </row>
    <row r="948" ht="15.0" customHeight="1">
      <c r="A948" s="4">
        <v>365.0</v>
      </c>
      <c r="B948" s="5" t="s">
        <v>898</v>
      </c>
      <c r="C948" s="6" t="s">
        <v>978</v>
      </c>
      <c r="D948" s="4" t="s">
        <v>5</v>
      </c>
      <c r="E948" s="7">
        <v>8699.73</v>
      </c>
    </row>
    <row r="949" ht="15.0" customHeight="1">
      <c r="A949" s="8">
        <v>366.0</v>
      </c>
      <c r="B949" s="9" t="s">
        <v>898</v>
      </c>
      <c r="C949" s="10" t="s">
        <v>979</v>
      </c>
      <c r="D949" s="8" t="s">
        <v>5</v>
      </c>
      <c r="E949" s="11">
        <v>8487.54</v>
      </c>
    </row>
    <row r="950" ht="15.0" customHeight="1">
      <c r="A950" s="4">
        <v>361.0</v>
      </c>
      <c r="B950" s="5" t="s">
        <v>898</v>
      </c>
      <c r="C950" s="6" t="s">
        <v>980</v>
      </c>
      <c r="D950" s="4" t="s">
        <v>5</v>
      </c>
      <c r="E950" s="7">
        <v>5622.97</v>
      </c>
    </row>
    <row r="951" ht="15.0" customHeight="1">
      <c r="A951" s="8">
        <v>362.0</v>
      </c>
      <c r="B951" s="9" t="s">
        <v>898</v>
      </c>
      <c r="C951" s="10" t="s">
        <v>981</v>
      </c>
      <c r="D951" s="8" t="s">
        <v>5</v>
      </c>
      <c r="E951" s="11">
        <v>6790.06</v>
      </c>
    </row>
    <row r="952" ht="15.0" customHeight="1">
      <c r="A952" s="4">
        <v>359.0</v>
      </c>
      <c r="B952" s="5" t="s">
        <v>898</v>
      </c>
      <c r="C952" s="6" t="s">
        <v>982</v>
      </c>
      <c r="D952" s="4" t="s">
        <v>5</v>
      </c>
      <c r="E952" s="7">
        <v>8339.0</v>
      </c>
    </row>
    <row r="953" ht="15.0" customHeight="1">
      <c r="A953" s="8">
        <v>360.0</v>
      </c>
      <c r="B953" s="9" t="s">
        <v>898</v>
      </c>
      <c r="C953" s="10" t="s">
        <v>983</v>
      </c>
      <c r="D953" s="8" t="s">
        <v>5</v>
      </c>
      <c r="E953" s="11">
        <v>18035.99</v>
      </c>
    </row>
    <row r="954" ht="15.0" customHeight="1">
      <c r="A954" s="4">
        <v>363.0</v>
      </c>
      <c r="B954" s="5" t="s">
        <v>898</v>
      </c>
      <c r="C954" s="6" t="s">
        <v>984</v>
      </c>
      <c r="D954" s="4" t="s">
        <v>5</v>
      </c>
      <c r="E954" s="7">
        <v>14216.61</v>
      </c>
    </row>
    <row r="955" ht="15.0" customHeight="1">
      <c r="A955" s="8">
        <v>1411.0</v>
      </c>
      <c r="B955" s="9" t="s">
        <v>898</v>
      </c>
      <c r="C955" s="10" t="s">
        <v>985</v>
      </c>
      <c r="D955" s="8" t="s">
        <v>5</v>
      </c>
      <c r="E955" s="11">
        <v>41804.3</v>
      </c>
    </row>
    <row r="956" ht="15.0" customHeight="1">
      <c r="A956" s="4">
        <v>384.0</v>
      </c>
      <c r="B956" s="5" t="s">
        <v>898</v>
      </c>
      <c r="C956" s="6" t="s">
        <v>986</v>
      </c>
      <c r="D956" s="4" t="s">
        <v>5</v>
      </c>
      <c r="E956" s="7">
        <v>4031.61</v>
      </c>
    </row>
    <row r="957" ht="15.0" customHeight="1">
      <c r="A957" s="8">
        <v>380.0</v>
      </c>
      <c r="B957" s="9" t="s">
        <v>898</v>
      </c>
      <c r="C957" s="10" t="s">
        <v>987</v>
      </c>
      <c r="D957" s="8" t="s">
        <v>5</v>
      </c>
      <c r="E957" s="11">
        <v>2546.26</v>
      </c>
    </row>
    <row r="958" ht="15.0" customHeight="1">
      <c r="A958" s="4">
        <v>386.0</v>
      </c>
      <c r="B958" s="5" t="s">
        <v>898</v>
      </c>
      <c r="C958" s="6" t="s">
        <v>988</v>
      </c>
      <c r="D958" s="4" t="s">
        <v>5</v>
      </c>
      <c r="E958" s="7">
        <v>2970.67</v>
      </c>
    </row>
    <row r="959" ht="15.0" customHeight="1">
      <c r="A959" s="8">
        <v>388.0</v>
      </c>
      <c r="B959" s="9" t="s">
        <v>898</v>
      </c>
      <c r="C959" s="10" t="s">
        <v>989</v>
      </c>
      <c r="D959" s="8" t="s">
        <v>5</v>
      </c>
      <c r="E959" s="11">
        <v>3267.73</v>
      </c>
    </row>
    <row r="960" ht="15.0" customHeight="1">
      <c r="A960" s="4">
        <v>381.0</v>
      </c>
      <c r="B960" s="5" t="s">
        <v>898</v>
      </c>
      <c r="C960" s="6" t="s">
        <v>990</v>
      </c>
      <c r="D960" s="4" t="s">
        <v>5</v>
      </c>
      <c r="E960" s="7">
        <v>37132.95</v>
      </c>
    </row>
    <row r="961" ht="15.0" customHeight="1">
      <c r="A961" s="8">
        <v>389.0</v>
      </c>
      <c r="B961" s="9" t="s">
        <v>898</v>
      </c>
      <c r="C961" s="10" t="s">
        <v>991</v>
      </c>
      <c r="D961" s="8" t="s">
        <v>5</v>
      </c>
      <c r="E961" s="11">
        <v>6790.06</v>
      </c>
    </row>
    <row r="962" ht="15.0" customHeight="1">
      <c r="A962" s="4">
        <v>392.0</v>
      </c>
      <c r="B962" s="5" t="s">
        <v>898</v>
      </c>
      <c r="C962" s="6" t="s">
        <v>992</v>
      </c>
      <c r="D962" s="4" t="s">
        <v>5</v>
      </c>
      <c r="E962" s="7">
        <v>742.68</v>
      </c>
    </row>
    <row r="963" ht="15.0" customHeight="1">
      <c r="A963" s="8">
        <v>394.0</v>
      </c>
      <c r="B963" s="9" t="s">
        <v>898</v>
      </c>
      <c r="C963" s="10" t="s">
        <v>993</v>
      </c>
      <c r="D963" s="8" t="s">
        <v>5</v>
      </c>
      <c r="E963" s="11">
        <v>1039.72</v>
      </c>
    </row>
    <row r="964" ht="15.0" customHeight="1">
      <c r="A964" s="4">
        <v>396.0</v>
      </c>
      <c r="B964" s="5" t="s">
        <v>898</v>
      </c>
      <c r="C964" s="6" t="s">
        <v>994</v>
      </c>
      <c r="D964" s="4" t="s">
        <v>5</v>
      </c>
      <c r="E964" s="7">
        <v>1442.89</v>
      </c>
    </row>
    <row r="965" ht="15.0" customHeight="1">
      <c r="A965" s="8">
        <v>399.0</v>
      </c>
      <c r="B965" s="9" t="s">
        <v>898</v>
      </c>
      <c r="C965" s="10" t="s">
        <v>995</v>
      </c>
      <c r="D965" s="8" t="s">
        <v>5</v>
      </c>
      <c r="E965" s="11">
        <v>74265.88</v>
      </c>
    </row>
    <row r="966" ht="15.0" customHeight="1">
      <c r="A966" s="4">
        <v>376.0</v>
      </c>
      <c r="B966" s="5" t="s">
        <v>898</v>
      </c>
      <c r="C966" s="6" t="s">
        <v>996</v>
      </c>
      <c r="D966" s="4" t="s">
        <v>5</v>
      </c>
      <c r="E966" s="7">
        <v>56229.87</v>
      </c>
    </row>
    <row r="967" ht="15.0" customHeight="1">
      <c r="A967" s="8">
        <v>374.0</v>
      </c>
      <c r="B967" s="9" t="s">
        <v>898</v>
      </c>
      <c r="C967" s="10" t="s">
        <v>997</v>
      </c>
      <c r="D967" s="8" t="s">
        <v>5</v>
      </c>
      <c r="E967" s="11">
        <v>40103.54</v>
      </c>
    </row>
    <row r="968" ht="15.0" customHeight="1">
      <c r="A968" s="4">
        <v>373.0</v>
      </c>
      <c r="B968" s="5" t="s">
        <v>898</v>
      </c>
      <c r="C968" s="6" t="s">
        <v>998</v>
      </c>
      <c r="D968" s="4" t="s">
        <v>5</v>
      </c>
      <c r="E968" s="7">
        <v>24401.69</v>
      </c>
    </row>
    <row r="969" ht="15.0" customHeight="1">
      <c r="A969" s="8">
        <v>378.0</v>
      </c>
      <c r="B969" s="9" t="s">
        <v>898</v>
      </c>
      <c r="C969" s="10" t="s">
        <v>999</v>
      </c>
      <c r="D969" s="8" t="s">
        <v>5</v>
      </c>
      <c r="E969" s="11">
        <v>115854.75</v>
      </c>
    </row>
    <row r="970" ht="15.0" customHeight="1">
      <c r="A970" s="4">
        <v>1409.0</v>
      </c>
      <c r="B970" s="5" t="s">
        <v>898</v>
      </c>
      <c r="C970" s="6" t="s">
        <v>1000</v>
      </c>
      <c r="D970" s="4" t="s">
        <v>5</v>
      </c>
      <c r="E970" s="7">
        <v>103703.1</v>
      </c>
    </row>
    <row r="971" ht="15.0" customHeight="1">
      <c r="A971" s="8">
        <v>1443.0</v>
      </c>
      <c r="B971" s="9" t="s">
        <v>898</v>
      </c>
      <c r="C971" s="10" t="s">
        <v>1001</v>
      </c>
      <c r="D971" s="8" t="s">
        <v>5</v>
      </c>
      <c r="E971" s="11">
        <v>9030.31</v>
      </c>
    </row>
    <row r="972" ht="15.0" customHeight="1">
      <c r="A972" s="4">
        <v>911.0</v>
      </c>
      <c r="B972" s="5" t="s">
        <v>898</v>
      </c>
      <c r="C972" s="6" t="s">
        <v>1002</v>
      </c>
      <c r="D972" s="4" t="s">
        <v>5</v>
      </c>
      <c r="E972" s="7">
        <v>488.02</v>
      </c>
    </row>
    <row r="973" ht="15.0" customHeight="1">
      <c r="A973" s="8">
        <v>923.0</v>
      </c>
      <c r="B973" s="9" t="s">
        <v>898</v>
      </c>
      <c r="C973" s="10" t="s">
        <v>1003</v>
      </c>
      <c r="D973" s="8" t="s">
        <v>5</v>
      </c>
      <c r="E973" s="11">
        <v>572.91</v>
      </c>
    </row>
    <row r="974" ht="15.0" customHeight="1">
      <c r="A974" s="4">
        <v>1446.0</v>
      </c>
      <c r="B974" s="5" t="s">
        <v>898</v>
      </c>
      <c r="C974" s="6" t="s">
        <v>1004</v>
      </c>
      <c r="D974" s="4" t="s">
        <v>5</v>
      </c>
      <c r="E974" s="7">
        <v>40782.11</v>
      </c>
    </row>
    <row r="975" ht="15.0" customHeight="1">
      <c r="A975" s="8">
        <v>1445.0</v>
      </c>
      <c r="B975" s="9" t="s">
        <v>898</v>
      </c>
      <c r="C975" s="10" t="s">
        <v>1005</v>
      </c>
      <c r="D975" s="8" t="s">
        <v>5</v>
      </c>
      <c r="E975" s="11">
        <v>74961.42</v>
      </c>
    </row>
    <row r="976" ht="15.0" customHeight="1">
      <c r="A976" s="4">
        <v>1440.0</v>
      </c>
      <c r="B976" s="5" t="s">
        <v>898</v>
      </c>
      <c r="C976" s="6" t="s">
        <v>1006</v>
      </c>
      <c r="D976" s="4" t="s">
        <v>5</v>
      </c>
      <c r="E976" s="7">
        <v>308778.92</v>
      </c>
    </row>
    <row r="977" ht="15.0" customHeight="1">
      <c r="A977" s="8">
        <v>1441.0</v>
      </c>
      <c r="B977" s="9" t="s">
        <v>898</v>
      </c>
      <c r="C977" s="10" t="s">
        <v>1007</v>
      </c>
      <c r="D977" s="8" t="s">
        <v>5</v>
      </c>
      <c r="E977" s="11">
        <v>514631.56</v>
      </c>
    </row>
    <row r="978" ht="15.0" customHeight="1">
      <c r="A978" s="4">
        <v>446.0</v>
      </c>
      <c r="B978" s="5" t="s">
        <v>898</v>
      </c>
      <c r="C978" s="6" t="s">
        <v>1008</v>
      </c>
      <c r="D978" s="4" t="s">
        <v>5</v>
      </c>
      <c r="E978" s="7">
        <v>446698.24</v>
      </c>
    </row>
    <row r="979" ht="15.0" customHeight="1">
      <c r="A979" s="8">
        <v>703.0</v>
      </c>
      <c r="B979" s="9" t="s">
        <v>898</v>
      </c>
      <c r="C979" s="10" t="s">
        <v>1009</v>
      </c>
      <c r="D979" s="8" t="s">
        <v>5</v>
      </c>
      <c r="E979" s="11">
        <v>307672.92</v>
      </c>
    </row>
    <row r="980" ht="15.0" customHeight="1">
      <c r="A980" s="4">
        <v>1439.0</v>
      </c>
      <c r="B980" s="5" t="s">
        <v>898</v>
      </c>
      <c r="C980" s="6" t="s">
        <v>1010</v>
      </c>
      <c r="D980" s="4" t="s">
        <v>5</v>
      </c>
      <c r="E980" s="7">
        <v>1456504.31</v>
      </c>
    </row>
    <row r="981" ht="15.0" customHeight="1">
      <c r="A981" s="8">
        <v>919.0</v>
      </c>
      <c r="B981" s="9" t="s">
        <v>898</v>
      </c>
      <c r="C981" s="10" t="s">
        <v>1011</v>
      </c>
      <c r="D981" s="8" t="s">
        <v>5</v>
      </c>
      <c r="E981" s="11">
        <v>2270.38</v>
      </c>
    </row>
    <row r="982" ht="15.0" customHeight="1">
      <c r="A982" s="4">
        <v>1431.0</v>
      </c>
      <c r="B982" s="5" t="s">
        <v>898</v>
      </c>
      <c r="C982" s="6" t="s">
        <v>1012</v>
      </c>
      <c r="D982" s="4" t="s">
        <v>5</v>
      </c>
      <c r="E982" s="7">
        <v>0.0</v>
      </c>
    </row>
    <row r="983" ht="15.0" customHeight="1">
      <c r="A983" s="8">
        <v>1410.0</v>
      </c>
      <c r="B983" s="9" t="s">
        <v>898</v>
      </c>
      <c r="C983" s="10" t="s">
        <v>1013</v>
      </c>
      <c r="D983" s="8" t="s">
        <v>5</v>
      </c>
      <c r="E983" s="11">
        <v>12623.05</v>
      </c>
    </row>
    <row r="984" ht="15.0" customHeight="1">
      <c r="A984" s="4">
        <v>1442.0</v>
      </c>
      <c r="B984" s="5" t="s">
        <v>898</v>
      </c>
      <c r="C984" s="6" t="s">
        <v>1014</v>
      </c>
      <c r="D984" s="4" t="s">
        <v>5</v>
      </c>
      <c r="E984" s="7">
        <v>13399.86</v>
      </c>
    </row>
    <row r="985" ht="15.0" customHeight="1">
      <c r="A985" s="8">
        <v>450.0</v>
      </c>
      <c r="B985" s="9" t="s">
        <v>1015</v>
      </c>
      <c r="C985" s="10" t="s">
        <v>1016</v>
      </c>
      <c r="D985" s="8" t="s">
        <v>5</v>
      </c>
      <c r="E985" s="11">
        <v>20157.92</v>
      </c>
    </row>
    <row r="986" ht="15.0" customHeight="1">
      <c r="A986" s="4">
        <v>1415.0</v>
      </c>
      <c r="B986" s="5" t="s">
        <v>1015</v>
      </c>
      <c r="C986" s="6" t="s">
        <v>1017</v>
      </c>
      <c r="D986" s="4" t="s">
        <v>5</v>
      </c>
      <c r="E986" s="7">
        <v>47579.12</v>
      </c>
    </row>
    <row r="987" ht="15.0" customHeight="1">
      <c r="A987" s="8">
        <v>1050.0</v>
      </c>
      <c r="B987" s="9" t="s">
        <v>1015</v>
      </c>
      <c r="C987" s="10" t="s">
        <v>1018</v>
      </c>
      <c r="D987" s="8" t="s">
        <v>5</v>
      </c>
      <c r="E987" s="11">
        <v>1888475.07</v>
      </c>
    </row>
    <row r="988" ht="15.0" customHeight="1">
      <c r="A988" s="4">
        <v>1721.0</v>
      </c>
      <c r="B988" s="5" t="s">
        <v>1015</v>
      </c>
      <c r="C988" s="6" t="s">
        <v>1019</v>
      </c>
      <c r="D988" s="4" t="s">
        <v>5</v>
      </c>
      <c r="E988" s="7">
        <v>39811.15</v>
      </c>
    </row>
    <row r="989" ht="15.0" customHeight="1">
      <c r="A989" s="8">
        <v>1722.0</v>
      </c>
      <c r="B989" s="9" t="s">
        <v>1015</v>
      </c>
      <c r="C989" s="10" t="s">
        <v>1020</v>
      </c>
      <c r="D989" s="8" t="s">
        <v>5</v>
      </c>
      <c r="E989" s="11">
        <v>25143.89</v>
      </c>
    </row>
    <row r="990" ht="15.0" customHeight="1">
      <c r="A990" s="4">
        <v>449.0</v>
      </c>
      <c r="B990" s="5" t="s">
        <v>1015</v>
      </c>
      <c r="C990" s="6" t="s">
        <v>1021</v>
      </c>
      <c r="D990" s="4" t="s">
        <v>5</v>
      </c>
      <c r="E990" s="7">
        <v>112969.16</v>
      </c>
    </row>
    <row r="991" ht="15.0" customHeight="1">
      <c r="A991" s="8">
        <v>1416.0</v>
      </c>
      <c r="B991" s="9" t="s">
        <v>1015</v>
      </c>
      <c r="C991" s="10" t="s">
        <v>1022</v>
      </c>
      <c r="D991" s="8" t="s">
        <v>5</v>
      </c>
      <c r="E991" s="11">
        <v>220121.12</v>
      </c>
    </row>
    <row r="992" ht="15.0" customHeight="1">
      <c r="A992" s="4">
        <v>451.0</v>
      </c>
      <c r="B992" s="5" t="s">
        <v>1015</v>
      </c>
      <c r="C992" s="6" t="s">
        <v>1023</v>
      </c>
      <c r="D992" s="4" t="s">
        <v>5</v>
      </c>
      <c r="E992" s="7">
        <v>290314.61</v>
      </c>
    </row>
    <row r="993" ht="15.0" customHeight="1">
      <c r="A993" s="8">
        <v>1723.0</v>
      </c>
      <c r="B993" s="9" t="s">
        <v>1015</v>
      </c>
      <c r="C993" s="10" t="s">
        <v>1024</v>
      </c>
      <c r="D993" s="8" t="s">
        <v>5</v>
      </c>
      <c r="E993" s="11">
        <v>111750.61</v>
      </c>
    </row>
    <row r="994" ht="15.0" customHeight="1">
      <c r="A994" s="4">
        <v>1423.0</v>
      </c>
      <c r="B994" s="5" t="s">
        <v>1015</v>
      </c>
      <c r="C994" s="6" t="s">
        <v>1025</v>
      </c>
      <c r="D994" s="4" t="s">
        <v>5</v>
      </c>
      <c r="E994" s="7">
        <v>53507.48</v>
      </c>
    </row>
    <row r="995" ht="15.0" customHeight="1">
      <c r="A995" s="8">
        <v>1414.0</v>
      </c>
      <c r="B995" s="9" t="s">
        <v>1015</v>
      </c>
      <c r="C995" s="10" t="s">
        <v>1026</v>
      </c>
      <c r="D995" s="8" t="s">
        <v>5</v>
      </c>
      <c r="E995" s="11">
        <v>57483.37</v>
      </c>
    </row>
    <row r="996" ht="15.0" customHeight="1">
      <c r="A996" s="4">
        <v>1422.0</v>
      </c>
      <c r="B996" s="5" t="s">
        <v>1015</v>
      </c>
      <c r="C996" s="6" t="s">
        <v>1027</v>
      </c>
      <c r="D996" s="4" t="s">
        <v>5</v>
      </c>
      <c r="E996" s="7">
        <v>126230.35</v>
      </c>
    </row>
    <row r="997" ht="15.0" customHeight="1">
      <c r="A997" s="8">
        <v>685.0</v>
      </c>
      <c r="B997" s="9" t="s">
        <v>1015</v>
      </c>
      <c r="C997" s="10" t="s">
        <v>1028</v>
      </c>
      <c r="D997" s="8" t="s">
        <v>5</v>
      </c>
      <c r="E997" s="11">
        <v>7426.61</v>
      </c>
    </row>
    <row r="998" ht="15.0" customHeight="1">
      <c r="A998" s="4">
        <v>1744.0</v>
      </c>
      <c r="B998" s="5" t="s">
        <v>1015</v>
      </c>
      <c r="C998" s="6" t="s">
        <v>1029</v>
      </c>
      <c r="D998" s="4" t="s">
        <v>5</v>
      </c>
      <c r="E998" s="7">
        <v>5061.42</v>
      </c>
    </row>
    <row r="999" ht="15.0" customHeight="1">
      <c r="A999" s="8">
        <v>916.0</v>
      </c>
      <c r="B999" s="9" t="s">
        <v>1015</v>
      </c>
      <c r="C999" s="10" t="s">
        <v>1030</v>
      </c>
      <c r="D999" s="8" t="s">
        <v>5</v>
      </c>
      <c r="E999" s="11">
        <v>1867.23</v>
      </c>
    </row>
    <row r="1000" ht="15.0" customHeight="1">
      <c r="A1000" s="4">
        <v>672.0</v>
      </c>
      <c r="B1000" s="5" t="s">
        <v>1015</v>
      </c>
      <c r="C1000" s="6" t="s">
        <v>1031</v>
      </c>
      <c r="D1000" s="4" t="s">
        <v>5</v>
      </c>
      <c r="E1000" s="7">
        <v>2121.87</v>
      </c>
    </row>
    <row r="1001" ht="15.0" customHeight="1">
      <c r="A1001" s="8">
        <v>673.0</v>
      </c>
      <c r="B1001" s="9" t="s">
        <v>1015</v>
      </c>
      <c r="C1001" s="10" t="s">
        <v>1032</v>
      </c>
      <c r="D1001" s="8" t="s">
        <v>5</v>
      </c>
      <c r="E1001" s="11">
        <v>2864.51</v>
      </c>
    </row>
    <row r="1002" ht="15.0" customHeight="1">
      <c r="A1002" s="4">
        <v>671.0</v>
      </c>
      <c r="B1002" s="5" t="s">
        <v>1015</v>
      </c>
      <c r="C1002" s="6" t="s">
        <v>1033</v>
      </c>
      <c r="D1002" s="4" t="s">
        <v>5</v>
      </c>
      <c r="E1002" s="7">
        <v>2015.82</v>
      </c>
    </row>
    <row r="1003" ht="15.0" customHeight="1">
      <c r="A1003" s="8">
        <v>674.0</v>
      </c>
      <c r="B1003" s="9" t="s">
        <v>1015</v>
      </c>
      <c r="C1003" s="10" t="s">
        <v>1034</v>
      </c>
      <c r="D1003" s="8" t="s">
        <v>5</v>
      </c>
      <c r="E1003" s="11">
        <v>2334.1</v>
      </c>
    </row>
    <row r="1004" ht="15.0" customHeight="1">
      <c r="A1004" s="4">
        <v>675.0</v>
      </c>
      <c r="B1004" s="5" t="s">
        <v>1015</v>
      </c>
      <c r="C1004" s="6" t="s">
        <v>1035</v>
      </c>
      <c r="D1004" s="4" t="s">
        <v>5</v>
      </c>
      <c r="E1004" s="7">
        <v>2758.47</v>
      </c>
    </row>
    <row r="1005" ht="15.0" customHeight="1">
      <c r="A1005" s="8">
        <v>676.0</v>
      </c>
      <c r="B1005" s="9" t="s">
        <v>1015</v>
      </c>
      <c r="C1005" s="10" t="s">
        <v>1036</v>
      </c>
      <c r="D1005" s="8" t="s">
        <v>5</v>
      </c>
      <c r="E1005" s="11">
        <v>3352.58</v>
      </c>
    </row>
    <row r="1006" ht="15.0" customHeight="1">
      <c r="A1006" s="4">
        <v>677.0</v>
      </c>
      <c r="B1006" s="5" t="s">
        <v>1015</v>
      </c>
      <c r="C1006" s="6" t="s">
        <v>1037</v>
      </c>
      <c r="D1006" s="4" t="s">
        <v>5</v>
      </c>
      <c r="E1006" s="7">
        <v>13792.27</v>
      </c>
    </row>
    <row r="1007" ht="15.0" customHeight="1">
      <c r="A1007" s="8">
        <v>1053.0</v>
      </c>
      <c r="B1007" s="9" t="s">
        <v>1015</v>
      </c>
      <c r="C1007" s="10" t="s">
        <v>1038</v>
      </c>
      <c r="D1007" s="8" t="s">
        <v>5</v>
      </c>
      <c r="E1007" s="11">
        <v>7426.61</v>
      </c>
    </row>
    <row r="1008" ht="15.0" customHeight="1">
      <c r="A1008" s="4">
        <v>915.0</v>
      </c>
      <c r="B1008" s="5" t="s">
        <v>1015</v>
      </c>
      <c r="C1008" s="6" t="s">
        <v>1039</v>
      </c>
      <c r="D1008" s="4" t="s">
        <v>5</v>
      </c>
      <c r="E1008" s="7">
        <v>2334.1</v>
      </c>
    </row>
    <row r="1009" ht="15.0" customHeight="1">
      <c r="A1009" s="8">
        <v>925.0</v>
      </c>
      <c r="B1009" s="9" t="s">
        <v>1015</v>
      </c>
      <c r="C1009" s="10" t="s">
        <v>1040</v>
      </c>
      <c r="D1009" s="8" t="s">
        <v>5</v>
      </c>
      <c r="E1009" s="11">
        <v>2758.47</v>
      </c>
    </row>
    <row r="1010" ht="15.0" customHeight="1">
      <c r="A1010" s="4">
        <v>678.0</v>
      </c>
      <c r="B1010" s="5" t="s">
        <v>1015</v>
      </c>
      <c r="C1010" s="6" t="s">
        <v>1041</v>
      </c>
      <c r="D1010" s="4" t="s">
        <v>5</v>
      </c>
      <c r="E1010" s="7">
        <v>4668.17</v>
      </c>
    </row>
    <row r="1011" ht="15.0" customHeight="1">
      <c r="A1011" s="8">
        <v>914.0</v>
      </c>
      <c r="B1011" s="9" t="s">
        <v>1015</v>
      </c>
      <c r="C1011" s="10" t="s">
        <v>1042</v>
      </c>
      <c r="D1011" s="8" t="s">
        <v>5</v>
      </c>
      <c r="E1011" s="11">
        <v>8275.34</v>
      </c>
    </row>
    <row r="1012" ht="15.0" customHeight="1">
      <c r="A1012" s="4">
        <v>683.0</v>
      </c>
      <c r="B1012" s="5" t="s">
        <v>1015</v>
      </c>
      <c r="C1012" s="6" t="s">
        <v>1043</v>
      </c>
      <c r="D1012" s="4" t="s">
        <v>5</v>
      </c>
      <c r="E1012" s="7">
        <v>2270.38</v>
      </c>
    </row>
    <row r="1013" ht="15.0" customHeight="1">
      <c r="A1013" s="8">
        <v>684.0</v>
      </c>
      <c r="B1013" s="9" t="s">
        <v>1015</v>
      </c>
      <c r="C1013" s="10" t="s">
        <v>1044</v>
      </c>
      <c r="D1013" s="8" t="s">
        <v>5</v>
      </c>
      <c r="E1013" s="11">
        <v>2843.29</v>
      </c>
    </row>
    <row r="1014" ht="15.0" customHeight="1">
      <c r="A1014" s="4">
        <v>1054.0</v>
      </c>
      <c r="B1014" s="5" t="s">
        <v>1015</v>
      </c>
      <c r="C1014" s="6" t="s">
        <v>1045</v>
      </c>
      <c r="D1014" s="4" t="s">
        <v>5</v>
      </c>
      <c r="E1014" s="7">
        <v>5622.97</v>
      </c>
    </row>
    <row r="1015" ht="15.0" customHeight="1">
      <c r="A1015" s="8">
        <v>688.0</v>
      </c>
      <c r="B1015" s="9" t="s">
        <v>1015</v>
      </c>
      <c r="C1015" s="10" t="s">
        <v>1046</v>
      </c>
      <c r="D1015" s="8" t="s">
        <v>5</v>
      </c>
      <c r="E1015" s="11">
        <v>12306.93</v>
      </c>
    </row>
    <row r="1016" ht="15.0" customHeight="1">
      <c r="A1016" s="4">
        <v>918.0</v>
      </c>
      <c r="B1016" s="5" t="s">
        <v>1015</v>
      </c>
      <c r="C1016" s="6" t="s">
        <v>1047</v>
      </c>
      <c r="D1016" s="4" t="s">
        <v>5</v>
      </c>
      <c r="E1016" s="7">
        <v>8063.14</v>
      </c>
    </row>
    <row r="1017" ht="15.0" customHeight="1">
      <c r="A1017" s="8">
        <v>689.0</v>
      </c>
      <c r="B1017" s="9" t="s">
        <v>1015</v>
      </c>
      <c r="C1017" s="10" t="s">
        <v>1048</v>
      </c>
      <c r="D1017" s="8" t="s">
        <v>5</v>
      </c>
      <c r="E1017" s="11">
        <v>9548.46</v>
      </c>
    </row>
    <row r="1018" ht="15.0" customHeight="1">
      <c r="A1018" s="4">
        <v>690.0</v>
      </c>
      <c r="B1018" s="5" t="s">
        <v>1015</v>
      </c>
      <c r="C1018" s="6" t="s">
        <v>1049</v>
      </c>
      <c r="D1018" s="4" t="s">
        <v>5</v>
      </c>
      <c r="E1018" s="7">
        <v>10609.42</v>
      </c>
    </row>
    <row r="1019" ht="15.0" customHeight="1">
      <c r="A1019" s="8">
        <v>686.0</v>
      </c>
      <c r="B1019" s="9" t="s">
        <v>1015</v>
      </c>
      <c r="C1019" s="10" t="s">
        <v>1050</v>
      </c>
      <c r="D1019" s="8" t="s">
        <v>5</v>
      </c>
      <c r="E1019" s="11">
        <v>13792.27</v>
      </c>
    </row>
    <row r="1020" ht="15.0" customHeight="1">
      <c r="A1020" s="4">
        <v>687.0</v>
      </c>
      <c r="B1020" s="5" t="s">
        <v>1015</v>
      </c>
      <c r="C1020" s="6" t="s">
        <v>1051</v>
      </c>
      <c r="D1020" s="4" t="s">
        <v>5</v>
      </c>
      <c r="E1020" s="7">
        <v>4880.35</v>
      </c>
    </row>
    <row r="1021" ht="15.0" customHeight="1">
      <c r="A1021" s="8">
        <v>680.0</v>
      </c>
      <c r="B1021" s="9" t="s">
        <v>1015</v>
      </c>
      <c r="C1021" s="10" t="s">
        <v>1052</v>
      </c>
      <c r="D1021" s="8" t="s">
        <v>5</v>
      </c>
      <c r="E1021" s="11">
        <v>13792.27</v>
      </c>
    </row>
    <row r="1022" ht="15.0" customHeight="1">
      <c r="A1022" s="4">
        <v>682.0</v>
      </c>
      <c r="B1022" s="5" t="s">
        <v>1015</v>
      </c>
      <c r="C1022" s="6" t="s">
        <v>1053</v>
      </c>
      <c r="D1022" s="4" t="s">
        <v>5</v>
      </c>
      <c r="E1022" s="7">
        <v>5304.7</v>
      </c>
    </row>
    <row r="1023" ht="15.0" customHeight="1">
      <c r="A1023" s="8">
        <v>1052.0</v>
      </c>
      <c r="B1023" s="9" t="s">
        <v>1015</v>
      </c>
      <c r="C1023" s="10" t="s">
        <v>1054</v>
      </c>
      <c r="D1023" s="8" t="s">
        <v>5</v>
      </c>
      <c r="E1023" s="11">
        <v>11245.99</v>
      </c>
    </row>
    <row r="1024" ht="15.0" customHeight="1">
      <c r="A1024" s="4">
        <v>924.0</v>
      </c>
      <c r="B1024" s="5" t="s">
        <v>1015</v>
      </c>
      <c r="C1024" s="6" t="s">
        <v>1055</v>
      </c>
      <c r="D1024" s="4" t="s">
        <v>5</v>
      </c>
      <c r="E1024" s="7">
        <v>9548.46</v>
      </c>
    </row>
    <row r="1025" ht="15.0" customHeight="1">
      <c r="A1025" s="8">
        <v>679.0</v>
      </c>
      <c r="B1025" s="9" t="s">
        <v>1015</v>
      </c>
      <c r="C1025" s="10" t="s">
        <v>1056</v>
      </c>
      <c r="D1025" s="8" t="s">
        <v>5</v>
      </c>
      <c r="E1025" s="11">
        <v>8275.34</v>
      </c>
    </row>
    <row r="1026" ht="15.0" customHeight="1">
      <c r="A1026" s="4">
        <v>681.0</v>
      </c>
      <c r="B1026" s="5" t="s">
        <v>1015</v>
      </c>
      <c r="C1026" s="6" t="s">
        <v>1057</v>
      </c>
      <c r="D1026" s="4" t="s">
        <v>5</v>
      </c>
      <c r="E1026" s="7">
        <v>16550.67</v>
      </c>
    </row>
    <row r="1027" ht="15.0" customHeight="1">
      <c r="A1027" s="8">
        <v>917.0</v>
      </c>
      <c r="B1027" s="9" t="s">
        <v>1015</v>
      </c>
      <c r="C1027" s="10" t="s">
        <v>1058</v>
      </c>
      <c r="D1027" s="8" t="s">
        <v>5</v>
      </c>
      <c r="E1027" s="11">
        <v>6790.06</v>
      </c>
    </row>
    <row r="1028" ht="15.0" customHeight="1">
      <c r="A1028" s="4">
        <v>926.0</v>
      </c>
      <c r="B1028" s="5" t="s">
        <v>1015</v>
      </c>
      <c r="C1028" s="6" t="s">
        <v>1059</v>
      </c>
      <c r="D1028" s="4" t="s">
        <v>5</v>
      </c>
      <c r="E1028" s="7">
        <v>3501.16</v>
      </c>
    </row>
    <row r="1029" ht="15.0" customHeight="1">
      <c r="A1029" s="8">
        <v>928.0</v>
      </c>
      <c r="B1029" s="9" t="s">
        <v>1015</v>
      </c>
      <c r="C1029" s="10" t="s">
        <v>1060</v>
      </c>
      <c r="D1029" s="8" t="s">
        <v>5</v>
      </c>
      <c r="E1029" s="11">
        <v>15277.53</v>
      </c>
    </row>
    <row r="1030" ht="15.0" customHeight="1">
      <c r="A1030" s="4">
        <v>1062.0</v>
      </c>
      <c r="B1030" s="5" t="s">
        <v>1015</v>
      </c>
      <c r="C1030" s="6" t="s">
        <v>1061</v>
      </c>
      <c r="D1030" s="4" t="s">
        <v>5</v>
      </c>
      <c r="E1030" s="7">
        <v>5707.89</v>
      </c>
    </row>
    <row r="1031" ht="15.0" customHeight="1">
      <c r="A1031" s="8">
        <v>700.0</v>
      </c>
      <c r="B1031" s="9" t="s">
        <v>1015</v>
      </c>
      <c r="C1031" s="10" t="s">
        <v>1062</v>
      </c>
      <c r="D1031" s="8" t="s">
        <v>5</v>
      </c>
      <c r="E1031" s="11">
        <v>17399.43</v>
      </c>
    </row>
    <row r="1032" ht="15.0" customHeight="1">
      <c r="A1032" s="4">
        <v>691.0</v>
      </c>
      <c r="B1032" s="5" t="s">
        <v>1015</v>
      </c>
      <c r="C1032" s="6" t="s">
        <v>1063</v>
      </c>
      <c r="D1032" s="4" t="s">
        <v>5</v>
      </c>
      <c r="E1032" s="7">
        <v>4455.92</v>
      </c>
    </row>
    <row r="1033" ht="15.0" customHeight="1">
      <c r="A1033" s="8">
        <v>668.0</v>
      </c>
      <c r="B1033" s="9" t="s">
        <v>1015</v>
      </c>
      <c r="C1033" s="10" t="s">
        <v>1064</v>
      </c>
      <c r="D1033" s="8" t="s">
        <v>5</v>
      </c>
      <c r="E1033" s="11">
        <v>7426.61</v>
      </c>
    </row>
    <row r="1034" ht="15.0" customHeight="1">
      <c r="A1034" s="4">
        <v>670.0</v>
      </c>
      <c r="B1034" s="5" t="s">
        <v>1015</v>
      </c>
      <c r="C1034" s="6" t="s">
        <v>1065</v>
      </c>
      <c r="D1034" s="4" t="s">
        <v>5</v>
      </c>
      <c r="E1034" s="7">
        <v>35011.04</v>
      </c>
    </row>
    <row r="1035" ht="15.0" customHeight="1">
      <c r="A1035" s="8">
        <v>1724.0</v>
      </c>
      <c r="B1035" s="9" t="s">
        <v>1015</v>
      </c>
      <c r="C1035" s="10" t="s">
        <v>1066</v>
      </c>
      <c r="D1035" s="8" t="s">
        <v>5</v>
      </c>
      <c r="E1035" s="11">
        <v>29334.54</v>
      </c>
    </row>
    <row r="1036" ht="15.0" customHeight="1">
      <c r="A1036" s="4">
        <v>669.0</v>
      </c>
      <c r="B1036" s="5" t="s">
        <v>1015</v>
      </c>
      <c r="C1036" s="6" t="s">
        <v>1067</v>
      </c>
      <c r="D1036" s="4" t="s">
        <v>5</v>
      </c>
      <c r="E1036" s="7">
        <v>10185.05</v>
      </c>
    </row>
    <row r="1037" ht="15.0" customHeight="1">
      <c r="A1037" s="8">
        <v>929.0</v>
      </c>
      <c r="B1037" s="9" t="s">
        <v>1015</v>
      </c>
      <c r="C1037" s="10" t="s">
        <v>1068</v>
      </c>
      <c r="D1037" s="8" t="s">
        <v>5</v>
      </c>
      <c r="E1037" s="11">
        <v>4880.35</v>
      </c>
    </row>
    <row r="1038" ht="15.0" customHeight="1">
      <c r="A1038" s="4">
        <v>913.0</v>
      </c>
      <c r="B1038" s="5" t="s">
        <v>1015</v>
      </c>
      <c r="C1038" s="6" t="s">
        <v>1069</v>
      </c>
      <c r="D1038" s="4" t="s">
        <v>5</v>
      </c>
      <c r="E1038" s="7">
        <v>6790.06</v>
      </c>
    </row>
    <row r="1039" ht="15.0" customHeight="1">
      <c r="A1039" s="8">
        <v>1417.0</v>
      </c>
      <c r="B1039" s="9" t="s">
        <v>1015</v>
      </c>
      <c r="C1039" s="10" t="s">
        <v>1070</v>
      </c>
      <c r="D1039" s="8" t="s">
        <v>5</v>
      </c>
      <c r="E1039" s="11">
        <v>13011.44</v>
      </c>
    </row>
    <row r="1040" ht="15.0" customHeight="1">
      <c r="A1040" s="4">
        <v>660.0</v>
      </c>
      <c r="B1040" s="5" t="s">
        <v>1015</v>
      </c>
      <c r="C1040" s="6" t="s">
        <v>1071</v>
      </c>
      <c r="D1040" s="4" t="s">
        <v>5</v>
      </c>
      <c r="E1040" s="7">
        <v>15277.53</v>
      </c>
    </row>
    <row r="1041" ht="15.0" customHeight="1">
      <c r="A1041" s="8">
        <v>659.0</v>
      </c>
      <c r="B1041" s="9" t="s">
        <v>1015</v>
      </c>
      <c r="C1041" s="10" t="s">
        <v>1072</v>
      </c>
      <c r="D1041" s="8" t="s">
        <v>5</v>
      </c>
      <c r="E1041" s="11">
        <v>4625.73</v>
      </c>
    </row>
    <row r="1042" ht="15.0" customHeight="1">
      <c r="A1042" s="4">
        <v>662.0</v>
      </c>
      <c r="B1042" s="5" t="s">
        <v>1015</v>
      </c>
      <c r="C1042" s="6" t="s">
        <v>1073</v>
      </c>
      <c r="D1042" s="4" t="s">
        <v>5</v>
      </c>
      <c r="E1042" s="7">
        <v>7553.9</v>
      </c>
    </row>
    <row r="1043" ht="15.0" customHeight="1">
      <c r="A1043" s="8">
        <v>927.0</v>
      </c>
      <c r="B1043" s="9" t="s">
        <v>1015</v>
      </c>
      <c r="C1043" s="10" t="s">
        <v>1074</v>
      </c>
      <c r="D1043" s="8" t="s">
        <v>5</v>
      </c>
      <c r="E1043" s="11">
        <v>9739.45</v>
      </c>
    </row>
    <row r="1044" ht="15.0" customHeight="1">
      <c r="A1044" s="4">
        <v>663.0</v>
      </c>
      <c r="B1044" s="5" t="s">
        <v>1015</v>
      </c>
      <c r="C1044" s="6" t="s">
        <v>1075</v>
      </c>
      <c r="D1044" s="4" t="s">
        <v>5</v>
      </c>
      <c r="E1044" s="7">
        <v>15914.13</v>
      </c>
    </row>
    <row r="1045" ht="15.0" customHeight="1">
      <c r="A1045" s="8">
        <v>661.0</v>
      </c>
      <c r="B1045" s="9" t="s">
        <v>1015</v>
      </c>
      <c r="C1045" s="10" t="s">
        <v>1076</v>
      </c>
      <c r="D1045" s="8" t="s">
        <v>5</v>
      </c>
      <c r="E1045" s="11">
        <v>5198.59</v>
      </c>
    </row>
    <row r="1046" ht="15.0" customHeight="1">
      <c r="A1046" s="4">
        <v>667.0</v>
      </c>
      <c r="B1046" s="5" t="s">
        <v>1015</v>
      </c>
      <c r="C1046" s="6" t="s">
        <v>1077</v>
      </c>
      <c r="D1046" s="4" t="s">
        <v>5</v>
      </c>
      <c r="E1046" s="7">
        <v>9548.46</v>
      </c>
    </row>
    <row r="1047" ht="15.0" customHeight="1">
      <c r="A1047" s="8">
        <v>664.0</v>
      </c>
      <c r="B1047" s="9" t="s">
        <v>1015</v>
      </c>
      <c r="C1047" s="10" t="s">
        <v>1078</v>
      </c>
      <c r="D1047" s="8" t="s">
        <v>5</v>
      </c>
      <c r="E1047" s="11">
        <v>5665.41</v>
      </c>
    </row>
    <row r="1048" ht="15.0" customHeight="1">
      <c r="A1048" s="4">
        <v>1419.0</v>
      </c>
      <c r="B1048" s="5" t="s">
        <v>1015</v>
      </c>
      <c r="C1048" s="6" t="s">
        <v>1079</v>
      </c>
      <c r="D1048" s="4" t="s">
        <v>5</v>
      </c>
      <c r="E1048" s="7">
        <v>19031.66</v>
      </c>
    </row>
    <row r="1049" ht="15.0" customHeight="1">
      <c r="A1049" s="8">
        <v>665.0</v>
      </c>
      <c r="B1049" s="9" t="s">
        <v>1015</v>
      </c>
      <c r="C1049" s="10" t="s">
        <v>1080</v>
      </c>
      <c r="D1049" s="8" t="s">
        <v>5</v>
      </c>
      <c r="E1049" s="11">
        <v>7214.41</v>
      </c>
    </row>
    <row r="1050" ht="15.0" customHeight="1">
      <c r="A1050" s="4">
        <v>666.0</v>
      </c>
      <c r="B1050" s="5" t="s">
        <v>1015</v>
      </c>
      <c r="C1050" s="6" t="s">
        <v>1081</v>
      </c>
      <c r="D1050" s="4" t="s">
        <v>5</v>
      </c>
      <c r="E1050" s="7">
        <v>8275.34</v>
      </c>
    </row>
    <row r="1051" ht="15.0" customHeight="1">
      <c r="A1051" s="8">
        <v>1421.0</v>
      </c>
      <c r="B1051" s="9" t="s">
        <v>1015</v>
      </c>
      <c r="C1051" s="10" t="s">
        <v>1082</v>
      </c>
      <c r="D1051" s="8" t="s">
        <v>5</v>
      </c>
      <c r="E1051" s="11">
        <v>42141.53</v>
      </c>
    </row>
    <row r="1052" ht="15.0" customHeight="1">
      <c r="A1052" s="4">
        <v>1408.0</v>
      </c>
      <c r="B1052" s="5" t="s">
        <v>1015</v>
      </c>
      <c r="C1052" s="6" t="s">
        <v>1083</v>
      </c>
      <c r="D1052" s="4" t="s">
        <v>5</v>
      </c>
      <c r="E1052" s="7">
        <v>46516.24</v>
      </c>
    </row>
    <row r="1053" ht="15.0" customHeight="1">
      <c r="A1053" s="8">
        <v>504.0</v>
      </c>
      <c r="B1053" s="9" t="s">
        <v>1015</v>
      </c>
      <c r="C1053" s="10" t="s">
        <v>1084</v>
      </c>
      <c r="D1053" s="8" t="s">
        <v>5</v>
      </c>
      <c r="E1053" s="11">
        <v>120947.26</v>
      </c>
    </row>
    <row r="1054" ht="15.0" customHeight="1">
      <c r="A1054" s="4">
        <v>505.0</v>
      </c>
      <c r="B1054" s="5" t="s">
        <v>1015</v>
      </c>
      <c r="C1054" s="6" t="s">
        <v>1085</v>
      </c>
      <c r="D1054" s="4" t="s">
        <v>5</v>
      </c>
      <c r="E1054" s="7">
        <v>371329.38</v>
      </c>
    </row>
    <row r="1055" ht="15.0" customHeight="1">
      <c r="A1055" s="8">
        <v>503.0</v>
      </c>
      <c r="B1055" s="9" t="s">
        <v>1015</v>
      </c>
      <c r="C1055" s="10" t="s">
        <v>1086</v>
      </c>
      <c r="D1055" s="8" t="s">
        <v>5</v>
      </c>
      <c r="E1055" s="11">
        <v>254625.83</v>
      </c>
    </row>
    <row r="1056" ht="15.0" customHeight="1">
      <c r="A1056" s="4">
        <v>1051.0</v>
      </c>
      <c r="B1056" s="5" t="s">
        <v>1015</v>
      </c>
      <c r="C1056" s="6" t="s">
        <v>1087</v>
      </c>
      <c r="D1056" s="4" t="s">
        <v>5</v>
      </c>
      <c r="E1056" s="7">
        <v>37769.5</v>
      </c>
    </row>
    <row r="1057" ht="15.0" customHeight="1">
      <c r="A1057" s="8">
        <v>1428.0</v>
      </c>
      <c r="B1057" s="9" t="s">
        <v>1015</v>
      </c>
      <c r="C1057" s="10" t="s">
        <v>1088</v>
      </c>
      <c r="D1057" s="8" t="s">
        <v>5</v>
      </c>
      <c r="E1057" s="11">
        <v>14856.34</v>
      </c>
    </row>
    <row r="1058" ht="15.0" customHeight="1">
      <c r="A1058" s="4">
        <v>1429.0</v>
      </c>
      <c r="B1058" s="5" t="s">
        <v>1015</v>
      </c>
      <c r="C1058" s="6" t="s">
        <v>1089</v>
      </c>
      <c r="D1058" s="4" t="s">
        <v>5</v>
      </c>
      <c r="E1058" s="7">
        <v>10486.86</v>
      </c>
    </row>
    <row r="1059" ht="15.0" customHeight="1">
      <c r="A1059" s="8">
        <v>1425.0</v>
      </c>
      <c r="B1059" s="9" t="s">
        <v>1015</v>
      </c>
      <c r="C1059" s="10" t="s">
        <v>1090</v>
      </c>
      <c r="D1059" s="8" t="s">
        <v>5</v>
      </c>
      <c r="E1059" s="11">
        <v>45637.14</v>
      </c>
    </row>
    <row r="1060" ht="15.0" customHeight="1">
      <c r="A1060" s="4">
        <v>1426.0</v>
      </c>
      <c r="B1060" s="5" t="s">
        <v>1015</v>
      </c>
      <c r="C1060" s="6" t="s">
        <v>1091</v>
      </c>
      <c r="D1060" s="4" t="s">
        <v>5</v>
      </c>
      <c r="E1060" s="7">
        <v>69912.22</v>
      </c>
    </row>
    <row r="1061" ht="15.0" customHeight="1">
      <c r="A1061" s="8">
        <v>480.0</v>
      </c>
      <c r="B1061" s="9" t="s">
        <v>1015</v>
      </c>
      <c r="C1061" s="10" t="s">
        <v>1092</v>
      </c>
      <c r="D1061" s="8" t="s">
        <v>5</v>
      </c>
      <c r="E1061" s="11">
        <v>18672.53</v>
      </c>
    </row>
    <row r="1062" ht="15.0" customHeight="1">
      <c r="A1062" s="4">
        <v>1087.0</v>
      </c>
      <c r="B1062" s="5" t="s">
        <v>1015</v>
      </c>
      <c r="C1062" s="6" t="s">
        <v>1093</v>
      </c>
      <c r="D1062" s="4" t="s">
        <v>5</v>
      </c>
      <c r="E1062" s="7">
        <v>49864.24</v>
      </c>
    </row>
    <row r="1063" ht="15.0" customHeight="1">
      <c r="A1063" s="8">
        <v>1424.0</v>
      </c>
      <c r="B1063" s="9" t="s">
        <v>1015</v>
      </c>
      <c r="C1063" s="10" t="s">
        <v>1094</v>
      </c>
      <c r="D1063" s="8" t="s">
        <v>5</v>
      </c>
      <c r="E1063" s="11">
        <v>28935.91</v>
      </c>
    </row>
    <row r="1064" ht="15.0" customHeight="1">
      <c r="A1064" s="4">
        <v>1076.0</v>
      </c>
      <c r="B1064" s="5" t="s">
        <v>1015</v>
      </c>
      <c r="C1064" s="6" t="s">
        <v>1095</v>
      </c>
      <c r="D1064" s="4" t="s">
        <v>5</v>
      </c>
      <c r="E1064" s="7">
        <v>48060.62</v>
      </c>
    </row>
    <row r="1065" ht="15.0" customHeight="1">
      <c r="A1065" s="8">
        <v>1081.0</v>
      </c>
      <c r="B1065" s="9" t="s">
        <v>1015</v>
      </c>
      <c r="C1065" s="10" t="s">
        <v>1096</v>
      </c>
      <c r="D1065" s="8" t="s">
        <v>5</v>
      </c>
      <c r="E1065" s="11">
        <v>5432.02</v>
      </c>
    </row>
    <row r="1066" ht="15.0" customHeight="1">
      <c r="A1066" s="4">
        <v>1080.0</v>
      </c>
      <c r="B1066" s="5" t="s">
        <v>1015</v>
      </c>
      <c r="C1066" s="6" t="s">
        <v>1097</v>
      </c>
      <c r="D1066" s="4" t="s">
        <v>5</v>
      </c>
      <c r="E1066" s="7">
        <v>5941.26</v>
      </c>
    </row>
    <row r="1067" ht="15.0" customHeight="1">
      <c r="A1067" s="8">
        <v>1082.0</v>
      </c>
      <c r="B1067" s="9" t="s">
        <v>1015</v>
      </c>
      <c r="C1067" s="10" t="s">
        <v>1098</v>
      </c>
      <c r="D1067" s="8" t="s">
        <v>5</v>
      </c>
      <c r="E1067" s="11">
        <v>4668.17</v>
      </c>
    </row>
    <row r="1068" ht="15.0" customHeight="1">
      <c r="A1068" s="4">
        <v>1077.0</v>
      </c>
      <c r="B1068" s="5" t="s">
        <v>1015</v>
      </c>
      <c r="C1068" s="6" t="s">
        <v>1099</v>
      </c>
      <c r="D1068" s="4" t="s">
        <v>5</v>
      </c>
      <c r="E1068" s="7">
        <v>7214.41</v>
      </c>
    </row>
    <row r="1069" ht="15.0" customHeight="1">
      <c r="A1069" s="8">
        <v>1078.0</v>
      </c>
      <c r="B1069" s="9" t="s">
        <v>1015</v>
      </c>
      <c r="C1069" s="10" t="s">
        <v>1100</v>
      </c>
      <c r="D1069" s="8" t="s">
        <v>5</v>
      </c>
      <c r="E1069" s="11">
        <v>8275.34</v>
      </c>
    </row>
    <row r="1070" ht="15.0" customHeight="1">
      <c r="A1070" s="4">
        <v>1079.0</v>
      </c>
      <c r="B1070" s="5" t="s">
        <v>1015</v>
      </c>
      <c r="C1070" s="6" t="s">
        <v>1101</v>
      </c>
      <c r="D1070" s="4" t="s">
        <v>5</v>
      </c>
      <c r="E1070" s="7">
        <v>8275.34</v>
      </c>
    </row>
    <row r="1071" ht="15.0" customHeight="1">
      <c r="A1071" s="8">
        <v>575.0</v>
      </c>
      <c r="B1071" s="9" t="s">
        <v>1015</v>
      </c>
      <c r="C1071" s="10" t="s">
        <v>1102</v>
      </c>
      <c r="D1071" s="8" t="s">
        <v>5</v>
      </c>
      <c r="E1071" s="11">
        <v>18884.72</v>
      </c>
    </row>
    <row r="1072" ht="15.0" customHeight="1">
      <c r="A1072" s="4">
        <v>424.0</v>
      </c>
      <c r="B1072" s="5" t="s">
        <v>1015</v>
      </c>
      <c r="C1072" s="6" t="s">
        <v>1103</v>
      </c>
      <c r="D1072" s="4" t="s">
        <v>1104</v>
      </c>
      <c r="E1072" s="7">
        <v>23552.91</v>
      </c>
    </row>
    <row r="1073" ht="15.0" customHeight="1">
      <c r="A1073" s="8">
        <v>425.0</v>
      </c>
      <c r="B1073" s="9" t="s">
        <v>1015</v>
      </c>
      <c r="C1073" s="10" t="s">
        <v>1105</v>
      </c>
      <c r="D1073" s="8" t="s">
        <v>1104</v>
      </c>
      <c r="E1073" s="11">
        <v>28857.6</v>
      </c>
    </row>
    <row r="1074" ht="15.0" customHeight="1">
      <c r="A1074" s="4">
        <v>572.0</v>
      </c>
      <c r="B1074" s="5" t="s">
        <v>1015</v>
      </c>
      <c r="C1074" s="6" t="s">
        <v>1106</v>
      </c>
      <c r="D1074" s="4" t="s">
        <v>1104</v>
      </c>
      <c r="E1074" s="7">
        <v>6577.82</v>
      </c>
    </row>
    <row r="1075" ht="15.0" customHeight="1">
      <c r="A1075" s="8">
        <v>573.0</v>
      </c>
      <c r="B1075" s="9" t="s">
        <v>1015</v>
      </c>
      <c r="C1075" s="10" t="s">
        <v>1107</v>
      </c>
      <c r="D1075" s="8" t="s">
        <v>1104</v>
      </c>
      <c r="E1075" s="11">
        <v>7426.61</v>
      </c>
    </row>
    <row r="1076" ht="15.0" customHeight="1">
      <c r="A1076" s="4">
        <v>574.0</v>
      </c>
      <c r="B1076" s="5" t="s">
        <v>1015</v>
      </c>
      <c r="C1076" s="6" t="s">
        <v>1108</v>
      </c>
      <c r="D1076" s="4" t="s">
        <v>76</v>
      </c>
      <c r="E1076" s="7">
        <v>7850.96</v>
      </c>
    </row>
    <row r="1077" ht="15.0" customHeight="1">
      <c r="A1077" s="8">
        <v>476.0</v>
      </c>
      <c r="B1077" s="9" t="s">
        <v>1015</v>
      </c>
      <c r="C1077" s="10" t="s">
        <v>1109</v>
      </c>
      <c r="D1077" s="8" t="s">
        <v>5</v>
      </c>
      <c r="E1077" s="11">
        <v>8275.34</v>
      </c>
    </row>
    <row r="1078" ht="15.0" customHeight="1">
      <c r="A1078" s="4">
        <v>474.0</v>
      </c>
      <c r="B1078" s="5" t="s">
        <v>1015</v>
      </c>
      <c r="C1078" s="6" t="s">
        <v>1110</v>
      </c>
      <c r="D1078" s="4" t="s">
        <v>5</v>
      </c>
      <c r="E1078" s="7">
        <v>1464.09</v>
      </c>
    </row>
    <row r="1079" ht="15.0" customHeight="1">
      <c r="A1079" s="8">
        <v>475.0</v>
      </c>
      <c r="B1079" s="9" t="s">
        <v>1015</v>
      </c>
      <c r="C1079" s="10" t="s">
        <v>1111</v>
      </c>
      <c r="D1079" s="8" t="s">
        <v>5</v>
      </c>
      <c r="E1079" s="11">
        <v>2525.03</v>
      </c>
    </row>
    <row r="1080" ht="15.0" customHeight="1">
      <c r="A1080" s="4">
        <v>472.0</v>
      </c>
      <c r="B1080" s="5" t="s">
        <v>1015</v>
      </c>
      <c r="C1080" s="6" t="s">
        <v>1112</v>
      </c>
      <c r="D1080" s="4" t="s">
        <v>5</v>
      </c>
      <c r="E1080" s="7">
        <v>2525.03</v>
      </c>
    </row>
    <row r="1081" ht="15.0" customHeight="1">
      <c r="A1081" s="8">
        <v>469.0</v>
      </c>
      <c r="B1081" s="9" t="s">
        <v>1015</v>
      </c>
      <c r="C1081" s="10" t="s">
        <v>1113</v>
      </c>
      <c r="D1081" s="8" t="s">
        <v>5</v>
      </c>
      <c r="E1081" s="11">
        <v>7214.41</v>
      </c>
    </row>
    <row r="1082" ht="15.0" customHeight="1">
      <c r="A1082" s="4">
        <v>468.0</v>
      </c>
      <c r="B1082" s="5" t="s">
        <v>1015</v>
      </c>
      <c r="C1082" s="6" t="s">
        <v>1114</v>
      </c>
      <c r="D1082" s="4" t="s">
        <v>5</v>
      </c>
      <c r="E1082" s="7">
        <v>7002.25</v>
      </c>
    </row>
    <row r="1083" ht="15.0" customHeight="1">
      <c r="A1083" s="8">
        <v>471.0</v>
      </c>
      <c r="B1083" s="9" t="s">
        <v>1015</v>
      </c>
      <c r="C1083" s="10" t="s">
        <v>1115</v>
      </c>
      <c r="D1083" s="8" t="s">
        <v>5</v>
      </c>
      <c r="E1083" s="11">
        <v>9548.46</v>
      </c>
    </row>
    <row r="1084" ht="15.0" customHeight="1">
      <c r="A1084" s="4">
        <v>473.0</v>
      </c>
      <c r="B1084" s="5" t="s">
        <v>1015</v>
      </c>
      <c r="C1084" s="6" t="s">
        <v>1116</v>
      </c>
      <c r="D1084" s="4" t="s">
        <v>5</v>
      </c>
      <c r="E1084" s="7">
        <v>3776.93</v>
      </c>
    </row>
    <row r="1085" ht="15.0" customHeight="1">
      <c r="A1085" s="8">
        <v>470.0</v>
      </c>
      <c r="B1085" s="9" t="s">
        <v>1015</v>
      </c>
      <c r="C1085" s="10" t="s">
        <v>1117</v>
      </c>
      <c r="D1085" s="8" t="s">
        <v>5</v>
      </c>
      <c r="E1085" s="11">
        <v>8275.34</v>
      </c>
    </row>
    <row r="1086" ht="15.0" customHeight="1">
      <c r="A1086" s="4">
        <v>477.0</v>
      </c>
      <c r="B1086" s="5" t="s">
        <v>1015</v>
      </c>
      <c r="C1086" s="6" t="s">
        <v>1118</v>
      </c>
      <c r="D1086" s="4" t="s">
        <v>5</v>
      </c>
      <c r="E1086" s="7">
        <v>1591.41</v>
      </c>
    </row>
    <row r="1087" ht="15.0" customHeight="1">
      <c r="A1087" s="8">
        <v>478.0</v>
      </c>
      <c r="B1087" s="9" t="s">
        <v>1015</v>
      </c>
      <c r="C1087" s="10" t="s">
        <v>1119</v>
      </c>
      <c r="D1087" s="8" t="s">
        <v>5</v>
      </c>
      <c r="E1087" s="11">
        <v>13792.27</v>
      </c>
    </row>
    <row r="1088" ht="15.0" customHeight="1">
      <c r="A1088" s="4">
        <v>479.0</v>
      </c>
      <c r="B1088" s="5" t="s">
        <v>1015</v>
      </c>
      <c r="C1088" s="6" t="s">
        <v>1120</v>
      </c>
      <c r="D1088" s="4" t="s">
        <v>5</v>
      </c>
      <c r="E1088" s="7">
        <v>24401.69</v>
      </c>
    </row>
    <row r="1089" ht="15.0" customHeight="1">
      <c r="A1089" s="8">
        <v>466.0</v>
      </c>
      <c r="B1089" s="9" t="s">
        <v>1015</v>
      </c>
      <c r="C1089" s="10" t="s">
        <v>1121</v>
      </c>
      <c r="D1089" s="8" t="s">
        <v>5</v>
      </c>
      <c r="E1089" s="11">
        <v>9548.46</v>
      </c>
    </row>
    <row r="1090" ht="15.0" customHeight="1">
      <c r="A1090" s="4">
        <v>467.0</v>
      </c>
      <c r="B1090" s="5" t="s">
        <v>1015</v>
      </c>
      <c r="C1090" s="6" t="s">
        <v>1122</v>
      </c>
      <c r="D1090" s="4" t="s">
        <v>5</v>
      </c>
      <c r="E1090" s="7">
        <v>8699.73</v>
      </c>
    </row>
    <row r="1091" ht="15.0" customHeight="1">
      <c r="A1091" s="8">
        <v>406.0</v>
      </c>
      <c r="B1091" s="9" t="s">
        <v>1015</v>
      </c>
      <c r="C1091" s="10" t="s">
        <v>1123</v>
      </c>
      <c r="D1091" s="8" t="s">
        <v>5</v>
      </c>
      <c r="E1091" s="11">
        <v>6726.35</v>
      </c>
    </row>
    <row r="1092" ht="15.0" customHeight="1">
      <c r="A1092" s="4">
        <v>1055.0</v>
      </c>
      <c r="B1092" s="5" t="s">
        <v>1015</v>
      </c>
      <c r="C1092" s="6" t="s">
        <v>1124</v>
      </c>
      <c r="D1092" s="4" t="s">
        <v>5</v>
      </c>
      <c r="E1092" s="7">
        <v>2546.26</v>
      </c>
    </row>
    <row r="1093" ht="15.0" customHeight="1">
      <c r="A1093" s="8">
        <v>902.0</v>
      </c>
      <c r="B1093" s="9" t="s">
        <v>1125</v>
      </c>
      <c r="C1093" s="10" t="s">
        <v>1126</v>
      </c>
      <c r="D1093" s="8" t="s">
        <v>5</v>
      </c>
      <c r="E1093" s="11">
        <v>3830.81</v>
      </c>
    </row>
    <row r="1094" ht="15.0" customHeight="1">
      <c r="A1094" s="4">
        <v>903.0</v>
      </c>
      <c r="B1094" s="5" t="s">
        <v>1125</v>
      </c>
      <c r="C1094" s="6" t="s">
        <v>1127</v>
      </c>
      <c r="D1094" s="4" t="s">
        <v>5</v>
      </c>
      <c r="E1094" s="7">
        <v>4714.9</v>
      </c>
    </row>
    <row r="1095" ht="15.0" customHeight="1">
      <c r="A1095" s="8">
        <v>606.0</v>
      </c>
      <c r="B1095" s="9" t="s">
        <v>1125</v>
      </c>
      <c r="C1095" s="10" t="s">
        <v>1128</v>
      </c>
      <c r="D1095" s="8" t="s">
        <v>5</v>
      </c>
      <c r="E1095" s="11">
        <v>3453.34</v>
      </c>
    </row>
    <row r="1096" ht="15.0" customHeight="1">
      <c r="A1096" s="4">
        <v>605.0</v>
      </c>
      <c r="B1096" s="5" t="s">
        <v>1125</v>
      </c>
      <c r="C1096" s="6" t="s">
        <v>1129</v>
      </c>
      <c r="D1096" s="4" t="s">
        <v>5</v>
      </c>
      <c r="E1096" s="7">
        <v>2277.3</v>
      </c>
    </row>
    <row r="1097" ht="15.0" customHeight="1">
      <c r="A1097" s="8">
        <v>57.0</v>
      </c>
      <c r="B1097" s="9" t="s">
        <v>1125</v>
      </c>
      <c r="C1097" s="10" t="s">
        <v>1130</v>
      </c>
      <c r="D1097" s="8" t="s">
        <v>5</v>
      </c>
      <c r="E1097" s="11">
        <v>279.95</v>
      </c>
    </row>
    <row r="1098" ht="15.0" customHeight="1">
      <c r="A1098" s="4">
        <v>59.0</v>
      </c>
      <c r="B1098" s="5" t="s">
        <v>1125</v>
      </c>
      <c r="C1098" s="6" t="s">
        <v>1131</v>
      </c>
      <c r="D1098" s="4" t="s">
        <v>5</v>
      </c>
      <c r="E1098" s="7">
        <v>412.57</v>
      </c>
    </row>
    <row r="1099" ht="15.0" customHeight="1">
      <c r="A1099" s="8">
        <v>62.0</v>
      </c>
      <c r="B1099" s="9" t="s">
        <v>1125</v>
      </c>
      <c r="C1099" s="10" t="s">
        <v>1132</v>
      </c>
      <c r="D1099" s="8" t="s">
        <v>5</v>
      </c>
      <c r="E1099" s="11">
        <v>1026.65</v>
      </c>
    </row>
    <row r="1100" ht="15.0" customHeight="1">
      <c r="A1100" s="4">
        <v>718.0</v>
      </c>
      <c r="B1100" s="5" t="s">
        <v>1125</v>
      </c>
      <c r="C1100" s="6" t="s">
        <v>1133</v>
      </c>
      <c r="D1100" s="4" t="s">
        <v>5</v>
      </c>
      <c r="E1100" s="7">
        <v>1157.29</v>
      </c>
    </row>
    <row r="1101" ht="15.0" customHeight="1">
      <c r="A1101" s="8">
        <v>63.0</v>
      </c>
      <c r="B1101" s="9" t="s">
        <v>1125</v>
      </c>
      <c r="C1101" s="10" t="s">
        <v>1134</v>
      </c>
      <c r="D1101" s="8" t="s">
        <v>5</v>
      </c>
      <c r="E1101" s="11">
        <v>1661.33</v>
      </c>
    </row>
    <row r="1102" ht="15.0" customHeight="1">
      <c r="A1102" s="4">
        <v>719.0</v>
      </c>
      <c r="B1102" s="5" t="s">
        <v>1125</v>
      </c>
      <c r="C1102" s="6" t="s">
        <v>1135</v>
      </c>
      <c r="D1102" s="4" t="s">
        <v>5</v>
      </c>
      <c r="E1102" s="7">
        <v>1773.35</v>
      </c>
    </row>
    <row r="1103" ht="15.0" customHeight="1">
      <c r="A1103" s="8">
        <v>61.0</v>
      </c>
      <c r="B1103" s="9" t="s">
        <v>1125</v>
      </c>
      <c r="C1103" s="10" t="s">
        <v>1136</v>
      </c>
      <c r="D1103" s="8" t="s">
        <v>5</v>
      </c>
      <c r="E1103" s="11">
        <v>783.99</v>
      </c>
    </row>
    <row r="1104" ht="15.0" customHeight="1">
      <c r="A1104" s="4">
        <v>717.0</v>
      </c>
      <c r="B1104" s="5" t="s">
        <v>1125</v>
      </c>
      <c r="C1104" s="6" t="s">
        <v>1137</v>
      </c>
      <c r="D1104" s="4" t="s">
        <v>5</v>
      </c>
      <c r="E1104" s="7">
        <v>961.31</v>
      </c>
    </row>
    <row r="1105" ht="15.0" customHeight="1">
      <c r="A1105" s="8">
        <v>1064.0</v>
      </c>
      <c r="B1105" s="9" t="s">
        <v>1125</v>
      </c>
      <c r="C1105" s="10" t="s">
        <v>1138</v>
      </c>
      <c r="D1105" s="8" t="s">
        <v>5</v>
      </c>
      <c r="E1105" s="11">
        <v>1661.33</v>
      </c>
    </row>
    <row r="1106" ht="15.0" customHeight="1">
      <c r="A1106" s="4">
        <v>1065.0</v>
      </c>
      <c r="B1106" s="5" t="s">
        <v>1125</v>
      </c>
      <c r="C1106" s="6" t="s">
        <v>1139</v>
      </c>
      <c r="D1106" s="4" t="s">
        <v>5</v>
      </c>
      <c r="E1106" s="7">
        <v>2053.33</v>
      </c>
    </row>
    <row r="1107" ht="15.0" customHeight="1">
      <c r="A1107" s="8">
        <v>603.0</v>
      </c>
      <c r="B1107" s="9" t="s">
        <v>1125</v>
      </c>
      <c r="C1107" s="10" t="s">
        <v>1140</v>
      </c>
      <c r="D1107" s="8" t="s">
        <v>5</v>
      </c>
      <c r="E1107" s="11">
        <v>1717.34</v>
      </c>
    </row>
    <row r="1108" ht="15.0" customHeight="1">
      <c r="A1108" s="4">
        <v>604.0</v>
      </c>
      <c r="B1108" s="5" t="s">
        <v>1125</v>
      </c>
      <c r="C1108" s="6" t="s">
        <v>1141</v>
      </c>
      <c r="D1108" s="4" t="s">
        <v>5</v>
      </c>
      <c r="E1108" s="7">
        <v>2333.33</v>
      </c>
    </row>
    <row r="1109" ht="15.0" customHeight="1">
      <c r="A1109" s="8">
        <v>972.0</v>
      </c>
      <c r="B1109" s="9" t="s">
        <v>1125</v>
      </c>
      <c r="C1109" s="10" t="s">
        <v>1142</v>
      </c>
      <c r="D1109" s="8" t="s">
        <v>5</v>
      </c>
      <c r="E1109" s="11">
        <v>8959.93</v>
      </c>
    </row>
    <row r="1110" ht="15.0" customHeight="1">
      <c r="A1110" s="4">
        <v>973.0</v>
      </c>
      <c r="B1110" s="5" t="s">
        <v>1125</v>
      </c>
      <c r="C1110" s="6" t="s">
        <v>1143</v>
      </c>
      <c r="D1110" s="4" t="s">
        <v>5</v>
      </c>
      <c r="E1110" s="7">
        <v>11386.61</v>
      </c>
    </row>
    <row r="1111" ht="15.0" customHeight="1">
      <c r="A1111" s="8">
        <v>974.0</v>
      </c>
      <c r="B1111" s="9" t="s">
        <v>1125</v>
      </c>
      <c r="C1111" s="10" t="s">
        <v>1144</v>
      </c>
      <c r="D1111" s="8" t="s">
        <v>5</v>
      </c>
      <c r="E1111" s="11">
        <v>12133.27</v>
      </c>
    </row>
    <row r="1112" ht="15.0" customHeight="1">
      <c r="A1112" s="4">
        <v>965.0</v>
      </c>
      <c r="B1112" s="5" t="s">
        <v>1125</v>
      </c>
      <c r="C1112" s="6" t="s">
        <v>1145</v>
      </c>
      <c r="D1112" s="4" t="s">
        <v>5</v>
      </c>
      <c r="E1112" s="7">
        <v>4666.67</v>
      </c>
    </row>
    <row r="1113" ht="15.0" customHeight="1">
      <c r="A1113" s="8">
        <v>966.0</v>
      </c>
      <c r="B1113" s="9" t="s">
        <v>1125</v>
      </c>
      <c r="C1113" s="10" t="s">
        <v>1146</v>
      </c>
      <c r="D1113" s="8" t="s">
        <v>5</v>
      </c>
      <c r="E1113" s="11">
        <v>5599.95</v>
      </c>
    </row>
    <row r="1114" ht="15.0" customHeight="1">
      <c r="A1114" s="4">
        <v>967.0</v>
      </c>
      <c r="B1114" s="5" t="s">
        <v>1125</v>
      </c>
      <c r="C1114" s="6" t="s">
        <v>1147</v>
      </c>
      <c r="D1114" s="4" t="s">
        <v>5</v>
      </c>
      <c r="E1114" s="7">
        <v>6346.6</v>
      </c>
    </row>
    <row r="1115" ht="15.0" customHeight="1">
      <c r="A1115" s="8">
        <v>968.0</v>
      </c>
      <c r="B1115" s="9" t="s">
        <v>1125</v>
      </c>
      <c r="C1115" s="10" t="s">
        <v>1148</v>
      </c>
      <c r="D1115" s="8" t="s">
        <v>5</v>
      </c>
      <c r="E1115" s="11">
        <v>7093.29</v>
      </c>
    </row>
    <row r="1116" ht="15.0" customHeight="1">
      <c r="A1116" s="4">
        <v>969.0</v>
      </c>
      <c r="B1116" s="5" t="s">
        <v>1125</v>
      </c>
      <c r="C1116" s="6" t="s">
        <v>1149</v>
      </c>
      <c r="D1116" s="4" t="s">
        <v>5</v>
      </c>
      <c r="E1116" s="7">
        <v>9986.63</v>
      </c>
    </row>
    <row r="1117" ht="15.0" customHeight="1">
      <c r="A1117" s="8">
        <v>970.0</v>
      </c>
      <c r="B1117" s="9" t="s">
        <v>1125</v>
      </c>
      <c r="C1117" s="10" t="s">
        <v>1150</v>
      </c>
      <c r="D1117" s="8" t="s">
        <v>5</v>
      </c>
      <c r="E1117" s="11">
        <v>12693.28</v>
      </c>
    </row>
    <row r="1118" ht="15.0" customHeight="1">
      <c r="A1118" s="4">
        <v>971.0</v>
      </c>
      <c r="B1118" s="5" t="s">
        <v>1125</v>
      </c>
      <c r="C1118" s="6" t="s">
        <v>1151</v>
      </c>
      <c r="D1118" s="4" t="s">
        <v>5</v>
      </c>
      <c r="E1118" s="7">
        <v>13439.9</v>
      </c>
    </row>
    <row r="1119" ht="15.0" customHeight="1">
      <c r="A1119" s="8">
        <v>58.0</v>
      </c>
      <c r="B1119" s="9" t="s">
        <v>1125</v>
      </c>
      <c r="C1119" s="10" t="s">
        <v>1152</v>
      </c>
      <c r="D1119" s="8" t="s">
        <v>5</v>
      </c>
      <c r="E1119" s="11">
        <v>522.65</v>
      </c>
    </row>
    <row r="1120" ht="15.0" customHeight="1">
      <c r="A1120" s="4">
        <v>60.0</v>
      </c>
      <c r="B1120" s="5" t="s">
        <v>1125</v>
      </c>
      <c r="C1120" s="6" t="s">
        <v>1153</v>
      </c>
      <c r="D1120" s="4" t="s">
        <v>5</v>
      </c>
      <c r="E1120" s="7">
        <v>671.98</v>
      </c>
    </row>
    <row r="1121" ht="15.0" customHeight="1">
      <c r="A1121" s="8">
        <v>537.0</v>
      </c>
      <c r="B1121" s="9" t="s">
        <v>1125</v>
      </c>
      <c r="C1121" s="10" t="s">
        <v>1154</v>
      </c>
      <c r="D1121" s="8" t="s">
        <v>5</v>
      </c>
      <c r="E1121" s="11">
        <v>12514.5</v>
      </c>
    </row>
    <row r="1122" ht="15.0" customHeight="1">
      <c r="A1122" s="4">
        <v>1067.0</v>
      </c>
      <c r="B1122" s="5" t="s">
        <v>1125</v>
      </c>
      <c r="C1122" s="6" t="s">
        <v>1155</v>
      </c>
      <c r="D1122" s="4" t="s">
        <v>5</v>
      </c>
      <c r="E1122" s="7">
        <v>3079.98</v>
      </c>
    </row>
    <row r="1123" ht="15.0" customHeight="1">
      <c r="A1123" s="8">
        <v>1066.0</v>
      </c>
      <c r="B1123" s="9" t="s">
        <v>1125</v>
      </c>
      <c r="C1123" s="10" t="s">
        <v>1156</v>
      </c>
      <c r="D1123" s="8" t="s">
        <v>5</v>
      </c>
      <c r="E1123" s="11">
        <v>1773.35</v>
      </c>
    </row>
    <row r="1124" ht="15.0" customHeight="1">
      <c r="A1124" s="4">
        <v>1393.0</v>
      </c>
      <c r="B1124" s="5" t="s">
        <v>1125</v>
      </c>
      <c r="C1124" s="6" t="s">
        <v>1157</v>
      </c>
      <c r="D1124" s="4" t="s">
        <v>5</v>
      </c>
      <c r="E1124" s="7">
        <v>1328.34</v>
      </c>
    </row>
    <row r="1125" ht="15.0" customHeight="1">
      <c r="A1125" s="8">
        <v>1599.0</v>
      </c>
      <c r="B1125" s="9" t="s">
        <v>1158</v>
      </c>
      <c r="C1125" s="10" t="s">
        <v>1159</v>
      </c>
      <c r="D1125" s="8" t="s">
        <v>5</v>
      </c>
      <c r="E1125" s="11">
        <v>315835.79</v>
      </c>
    </row>
    <row r="1126" ht="15.0" customHeight="1">
      <c r="A1126" s="4">
        <v>143.0</v>
      </c>
      <c r="B1126" s="5" t="s">
        <v>1158</v>
      </c>
      <c r="C1126" s="6" t="s">
        <v>1160</v>
      </c>
      <c r="D1126" s="4" t="s">
        <v>5</v>
      </c>
      <c r="E1126" s="7">
        <v>101903.26</v>
      </c>
    </row>
    <row r="1127" ht="15.0" customHeight="1">
      <c r="A1127" s="8">
        <v>144.0</v>
      </c>
      <c r="B1127" s="9" t="s">
        <v>1158</v>
      </c>
      <c r="C1127" s="10" t="s">
        <v>1161</v>
      </c>
      <c r="D1127" s="8" t="s">
        <v>5</v>
      </c>
      <c r="E1127" s="11">
        <v>121863.74</v>
      </c>
    </row>
    <row r="1128" ht="15.0" customHeight="1">
      <c r="A1128" s="4">
        <v>145.0</v>
      </c>
      <c r="B1128" s="5" t="s">
        <v>1158</v>
      </c>
      <c r="C1128" s="6" t="s">
        <v>1162</v>
      </c>
      <c r="D1128" s="4" t="s">
        <v>5</v>
      </c>
      <c r="E1128" s="7">
        <v>88666.39</v>
      </c>
    </row>
    <row r="1129" ht="15.0" customHeight="1">
      <c r="A1129" s="8">
        <v>146.0</v>
      </c>
      <c r="B1129" s="9" t="s">
        <v>1158</v>
      </c>
      <c r="C1129" s="10" t="s">
        <v>1163</v>
      </c>
      <c r="D1129" s="8" t="s">
        <v>5</v>
      </c>
      <c r="E1129" s="11">
        <v>98331.44</v>
      </c>
    </row>
    <row r="1130" ht="15.0" customHeight="1">
      <c r="A1130" s="4">
        <v>1033.0</v>
      </c>
      <c r="B1130" s="5" t="s">
        <v>1158</v>
      </c>
      <c r="C1130" s="6" t="s">
        <v>1164</v>
      </c>
      <c r="D1130" s="4" t="s">
        <v>76</v>
      </c>
      <c r="E1130" s="7">
        <v>14056.35</v>
      </c>
    </row>
    <row r="1131" ht="15.0" customHeight="1">
      <c r="A1131" s="8">
        <v>611.0</v>
      </c>
      <c r="B1131" s="9" t="s">
        <v>1158</v>
      </c>
      <c r="C1131" s="10" t="s">
        <v>1165</v>
      </c>
      <c r="D1131" s="8" t="s">
        <v>76</v>
      </c>
      <c r="E1131" s="11">
        <v>735.38</v>
      </c>
    </row>
    <row r="1132" ht="15.0" customHeight="1">
      <c r="A1132" s="4">
        <v>1600.0</v>
      </c>
      <c r="B1132" s="5" t="s">
        <v>1158</v>
      </c>
      <c r="C1132" s="6" t="s">
        <v>1166</v>
      </c>
      <c r="D1132" s="4" t="s">
        <v>5</v>
      </c>
      <c r="E1132" s="7">
        <v>31115.92</v>
      </c>
    </row>
    <row r="1133" ht="15.0" customHeight="1">
      <c r="A1133" s="8">
        <v>155.0</v>
      </c>
      <c r="B1133" s="9" t="s">
        <v>1158</v>
      </c>
      <c r="C1133" s="10" t="s">
        <v>1167</v>
      </c>
      <c r="D1133" s="8" t="s">
        <v>76</v>
      </c>
      <c r="E1133" s="11">
        <v>2206.16</v>
      </c>
    </row>
    <row r="1134" ht="15.0" customHeight="1">
      <c r="A1134" s="4">
        <v>1039.0</v>
      </c>
      <c r="B1134" s="5" t="s">
        <v>1158</v>
      </c>
      <c r="C1134" s="6" t="s">
        <v>1168</v>
      </c>
      <c r="D1134" s="4" t="s">
        <v>22</v>
      </c>
      <c r="E1134" s="7">
        <v>75639.51</v>
      </c>
    </row>
    <row r="1135" ht="15.0" customHeight="1">
      <c r="A1135" s="8">
        <v>1527.0</v>
      </c>
      <c r="B1135" s="9" t="s">
        <v>1158</v>
      </c>
      <c r="C1135" s="10" t="s">
        <v>1169</v>
      </c>
      <c r="D1135" s="8" t="s">
        <v>22</v>
      </c>
      <c r="E1135" s="11">
        <v>44316.57</v>
      </c>
    </row>
    <row r="1136" ht="15.0" customHeight="1">
      <c r="A1136" s="4">
        <v>162.0</v>
      </c>
      <c r="B1136" s="5" t="s">
        <v>1158</v>
      </c>
      <c r="C1136" s="6" t="s">
        <v>1170</v>
      </c>
      <c r="D1136" s="4" t="s">
        <v>76</v>
      </c>
      <c r="E1136" s="7">
        <v>3151.65</v>
      </c>
    </row>
    <row r="1137" ht="15.0" customHeight="1">
      <c r="A1137" s="8">
        <v>160.0</v>
      </c>
      <c r="B1137" s="9" t="s">
        <v>1158</v>
      </c>
      <c r="C1137" s="10" t="s">
        <v>1171</v>
      </c>
      <c r="D1137" s="8" t="s">
        <v>76</v>
      </c>
      <c r="E1137" s="11">
        <v>4202.2</v>
      </c>
    </row>
    <row r="1138" ht="15.0" customHeight="1">
      <c r="A1138" s="4">
        <v>161.0</v>
      </c>
      <c r="B1138" s="5" t="s">
        <v>1158</v>
      </c>
      <c r="C1138" s="6" t="s">
        <v>1172</v>
      </c>
      <c r="D1138" s="4" t="s">
        <v>76</v>
      </c>
      <c r="E1138" s="7">
        <v>5042.61</v>
      </c>
    </row>
    <row r="1139" ht="15.0" customHeight="1">
      <c r="A1139" s="8">
        <v>1590.0</v>
      </c>
      <c r="B1139" s="9" t="s">
        <v>1158</v>
      </c>
      <c r="C1139" s="10" t="s">
        <v>1173</v>
      </c>
      <c r="D1139" s="8" t="s">
        <v>22</v>
      </c>
      <c r="E1139" s="11">
        <v>8486.15</v>
      </c>
    </row>
    <row r="1140" ht="15.0" customHeight="1">
      <c r="A1140" s="4">
        <v>1589.0</v>
      </c>
      <c r="B1140" s="5" t="s">
        <v>1158</v>
      </c>
      <c r="C1140" s="6" t="s">
        <v>1174</v>
      </c>
      <c r="D1140" s="4" t="s">
        <v>22</v>
      </c>
      <c r="E1140" s="7">
        <v>12257.79</v>
      </c>
    </row>
    <row r="1141" ht="15.0" customHeight="1">
      <c r="A1141" s="8">
        <v>842.0</v>
      </c>
      <c r="B1141" s="9" t="s">
        <v>1158</v>
      </c>
      <c r="C1141" s="10" t="s">
        <v>1175</v>
      </c>
      <c r="D1141" s="8" t="s">
        <v>5</v>
      </c>
      <c r="E1141" s="11">
        <v>52527.49</v>
      </c>
    </row>
    <row r="1142" ht="15.0" customHeight="1">
      <c r="A1142" s="4">
        <v>1025.0</v>
      </c>
      <c r="B1142" s="5" t="s">
        <v>1158</v>
      </c>
      <c r="C1142" s="6" t="s">
        <v>1176</v>
      </c>
      <c r="D1142" s="4" t="s">
        <v>76</v>
      </c>
      <c r="E1142" s="7">
        <v>7143.74</v>
      </c>
    </row>
    <row r="1143" ht="15.0" customHeight="1">
      <c r="A1143" s="8">
        <v>158.0</v>
      </c>
      <c r="B1143" s="9" t="s">
        <v>1158</v>
      </c>
      <c r="C1143" s="10" t="s">
        <v>1177</v>
      </c>
      <c r="D1143" s="8" t="s">
        <v>76</v>
      </c>
      <c r="E1143" s="11">
        <v>1407.73</v>
      </c>
    </row>
    <row r="1144" ht="15.0" customHeight="1">
      <c r="A1144" s="4">
        <v>159.0</v>
      </c>
      <c r="B1144" s="5" t="s">
        <v>1158</v>
      </c>
      <c r="C1144" s="6" t="s">
        <v>1178</v>
      </c>
      <c r="D1144" s="4" t="s">
        <v>76</v>
      </c>
      <c r="E1144" s="7">
        <v>2311.2</v>
      </c>
    </row>
    <row r="1145" ht="15.0" customHeight="1">
      <c r="A1145" s="8">
        <v>156.0</v>
      </c>
      <c r="B1145" s="9" t="s">
        <v>1158</v>
      </c>
      <c r="C1145" s="10" t="s">
        <v>1179</v>
      </c>
      <c r="D1145" s="8" t="s">
        <v>76</v>
      </c>
      <c r="E1145" s="11">
        <v>1071.55</v>
      </c>
    </row>
    <row r="1146" ht="15.0" customHeight="1">
      <c r="A1146" s="4">
        <v>157.0</v>
      </c>
      <c r="B1146" s="5" t="s">
        <v>1158</v>
      </c>
      <c r="C1146" s="6" t="s">
        <v>1180</v>
      </c>
      <c r="D1146" s="4" t="s">
        <v>76</v>
      </c>
      <c r="E1146" s="7">
        <v>1407.73</v>
      </c>
    </row>
    <row r="1147" ht="15.0" customHeight="1">
      <c r="A1147" s="8">
        <v>907.0</v>
      </c>
      <c r="B1147" s="9" t="s">
        <v>1158</v>
      </c>
      <c r="C1147" s="10" t="s">
        <v>1181</v>
      </c>
      <c r="D1147" s="8" t="s">
        <v>76</v>
      </c>
      <c r="E1147" s="11">
        <v>3151.65</v>
      </c>
    </row>
    <row r="1148" ht="15.0" customHeight="1">
      <c r="A1148" s="4">
        <v>1593.0</v>
      </c>
      <c r="B1148" s="5" t="s">
        <v>1158</v>
      </c>
      <c r="C1148" s="6" t="s">
        <v>1182</v>
      </c>
      <c r="D1148" s="4" t="s">
        <v>76</v>
      </c>
      <c r="E1148" s="7">
        <v>3394.45</v>
      </c>
    </row>
    <row r="1149" ht="15.0" customHeight="1">
      <c r="A1149" s="8">
        <v>984.0</v>
      </c>
      <c r="B1149" s="9" t="s">
        <v>1158</v>
      </c>
      <c r="C1149" s="10" t="s">
        <v>1183</v>
      </c>
      <c r="D1149" s="8" t="s">
        <v>76</v>
      </c>
      <c r="E1149" s="11">
        <v>1134.6</v>
      </c>
    </row>
    <row r="1150" ht="15.0" customHeight="1">
      <c r="A1150" s="4">
        <v>1592.0</v>
      </c>
      <c r="B1150" s="5" t="s">
        <v>1158</v>
      </c>
      <c r="C1150" s="6" t="s">
        <v>1184</v>
      </c>
      <c r="D1150" s="4" t="s">
        <v>76</v>
      </c>
      <c r="E1150" s="7">
        <v>1414.35</v>
      </c>
    </row>
    <row r="1151" ht="15.0" customHeight="1">
      <c r="A1151" s="8">
        <v>906.0</v>
      </c>
      <c r="B1151" s="9" t="s">
        <v>1158</v>
      </c>
      <c r="C1151" s="10" t="s">
        <v>1185</v>
      </c>
      <c r="D1151" s="8" t="s">
        <v>76</v>
      </c>
      <c r="E1151" s="11">
        <v>2521.34</v>
      </c>
    </row>
    <row r="1152" ht="15.0" customHeight="1">
      <c r="A1152" s="4">
        <v>1594.0</v>
      </c>
      <c r="B1152" s="5" t="s">
        <v>1158</v>
      </c>
      <c r="C1152" s="6" t="s">
        <v>1186</v>
      </c>
      <c r="D1152" s="4" t="s">
        <v>76</v>
      </c>
      <c r="E1152" s="7">
        <v>2262.97</v>
      </c>
    </row>
    <row r="1153" ht="15.0" customHeight="1">
      <c r="A1153" s="8">
        <v>612.0</v>
      </c>
      <c r="B1153" s="9" t="s">
        <v>1158</v>
      </c>
      <c r="C1153" s="10" t="s">
        <v>1187</v>
      </c>
      <c r="D1153" s="8" t="s">
        <v>76</v>
      </c>
      <c r="E1153" s="11">
        <v>3151.65</v>
      </c>
    </row>
    <row r="1154" ht="15.0" customHeight="1">
      <c r="A1154" s="4">
        <v>1595.0</v>
      </c>
      <c r="B1154" s="5" t="s">
        <v>1158</v>
      </c>
      <c r="C1154" s="6" t="s">
        <v>1188</v>
      </c>
      <c r="D1154" s="4" t="s">
        <v>22</v>
      </c>
      <c r="E1154" s="7">
        <v>10560.53</v>
      </c>
    </row>
    <row r="1155" ht="15.0" customHeight="1">
      <c r="A1155" s="8">
        <v>126.0</v>
      </c>
      <c r="B1155" s="9" t="s">
        <v>1158</v>
      </c>
      <c r="C1155" s="10" t="s">
        <v>1189</v>
      </c>
      <c r="D1155" s="8" t="s">
        <v>22</v>
      </c>
      <c r="E1155" s="11">
        <v>18699.73</v>
      </c>
    </row>
    <row r="1156" ht="15.0" customHeight="1">
      <c r="A1156" s="4">
        <v>124.0</v>
      </c>
      <c r="B1156" s="5" t="s">
        <v>1158</v>
      </c>
      <c r="C1156" s="6" t="s">
        <v>1190</v>
      </c>
      <c r="D1156" s="4" t="s">
        <v>22</v>
      </c>
      <c r="E1156" s="7">
        <v>13657.14</v>
      </c>
    </row>
    <row r="1157" ht="15.0" customHeight="1">
      <c r="A1157" s="8">
        <v>125.0</v>
      </c>
      <c r="B1157" s="9" t="s">
        <v>1158</v>
      </c>
      <c r="C1157" s="10" t="s">
        <v>1191</v>
      </c>
      <c r="D1157" s="8" t="s">
        <v>22</v>
      </c>
      <c r="E1157" s="11">
        <v>16598.72</v>
      </c>
    </row>
    <row r="1158" ht="15.0" customHeight="1">
      <c r="A1158" s="4">
        <v>151.0</v>
      </c>
      <c r="B1158" s="5" t="s">
        <v>1158</v>
      </c>
      <c r="C1158" s="6" t="s">
        <v>1192</v>
      </c>
      <c r="D1158" s="4" t="s">
        <v>76</v>
      </c>
      <c r="E1158" s="7">
        <v>1870.0</v>
      </c>
    </row>
    <row r="1159" ht="15.0" customHeight="1">
      <c r="A1159" s="8">
        <v>152.0</v>
      </c>
      <c r="B1159" s="9" t="s">
        <v>1158</v>
      </c>
      <c r="C1159" s="10" t="s">
        <v>1193</v>
      </c>
      <c r="D1159" s="8" t="s">
        <v>76</v>
      </c>
      <c r="E1159" s="11">
        <v>2521.34</v>
      </c>
    </row>
    <row r="1160" ht="15.0" customHeight="1">
      <c r="A1160" s="4">
        <v>846.0</v>
      </c>
      <c r="B1160" s="5" t="s">
        <v>1158</v>
      </c>
      <c r="C1160" s="6" t="s">
        <v>1194</v>
      </c>
      <c r="D1160" s="4" t="s">
        <v>76</v>
      </c>
      <c r="E1160" s="7">
        <v>26053.64</v>
      </c>
    </row>
    <row r="1161" ht="15.0" customHeight="1">
      <c r="A1161" s="8">
        <v>1601.0</v>
      </c>
      <c r="B1161" s="9" t="s">
        <v>1158</v>
      </c>
      <c r="C1161" s="10" t="s">
        <v>1195</v>
      </c>
      <c r="D1161" s="8" t="s">
        <v>5</v>
      </c>
      <c r="E1161" s="11">
        <v>59403.11</v>
      </c>
    </row>
    <row r="1162" ht="15.0" customHeight="1">
      <c r="A1162" s="4">
        <v>1023.0</v>
      </c>
      <c r="B1162" s="5" t="s">
        <v>1158</v>
      </c>
      <c r="C1162" s="6" t="s">
        <v>1196</v>
      </c>
      <c r="D1162" s="4" t="s">
        <v>5</v>
      </c>
      <c r="E1162" s="7">
        <v>80682.19</v>
      </c>
    </row>
    <row r="1163" ht="15.0" customHeight="1">
      <c r="A1163" s="8">
        <v>149.0</v>
      </c>
      <c r="B1163" s="9" t="s">
        <v>1158</v>
      </c>
      <c r="C1163" s="10" t="s">
        <v>1197</v>
      </c>
      <c r="D1163" s="8" t="s">
        <v>5</v>
      </c>
      <c r="E1163" s="11">
        <v>74378.94</v>
      </c>
    </row>
    <row r="1164" ht="15.0" customHeight="1">
      <c r="A1164" s="4">
        <v>150.0</v>
      </c>
      <c r="B1164" s="5" t="s">
        <v>1158</v>
      </c>
      <c r="C1164" s="6" t="s">
        <v>1198</v>
      </c>
      <c r="D1164" s="4" t="s">
        <v>5</v>
      </c>
      <c r="E1164" s="7">
        <v>86145.06</v>
      </c>
    </row>
    <row r="1165" ht="15.0" customHeight="1">
      <c r="A1165" s="8">
        <v>1604.0</v>
      </c>
      <c r="B1165" s="9" t="s">
        <v>1158</v>
      </c>
      <c r="C1165" s="10" t="s">
        <v>1199</v>
      </c>
      <c r="D1165" s="8" t="s">
        <v>5</v>
      </c>
      <c r="E1165" s="11">
        <v>136909.96</v>
      </c>
    </row>
    <row r="1166" ht="15.0" customHeight="1">
      <c r="A1166" s="4">
        <v>147.0</v>
      </c>
      <c r="B1166" s="5" t="s">
        <v>1158</v>
      </c>
      <c r="C1166" s="6" t="s">
        <v>1200</v>
      </c>
      <c r="D1166" s="4" t="s">
        <v>5</v>
      </c>
      <c r="E1166" s="7">
        <v>31306.36</v>
      </c>
    </row>
    <row r="1167" ht="15.0" customHeight="1">
      <c r="A1167" s="8">
        <v>148.0</v>
      </c>
      <c r="B1167" s="9" t="s">
        <v>1158</v>
      </c>
      <c r="C1167" s="10" t="s">
        <v>1201</v>
      </c>
      <c r="D1167" s="8" t="s">
        <v>5</v>
      </c>
      <c r="E1167" s="11">
        <v>39920.88</v>
      </c>
    </row>
    <row r="1168" ht="15.0" customHeight="1">
      <c r="A1168" s="4">
        <v>1603.0</v>
      </c>
      <c r="B1168" s="5" t="s">
        <v>1158</v>
      </c>
      <c r="C1168" s="6" t="s">
        <v>1202</v>
      </c>
      <c r="D1168" s="4" t="s">
        <v>5</v>
      </c>
      <c r="E1168" s="7">
        <v>59403.11</v>
      </c>
    </row>
    <row r="1169" ht="15.0" customHeight="1">
      <c r="A1169" s="8">
        <v>1606.0</v>
      </c>
      <c r="B1169" s="9" t="s">
        <v>1158</v>
      </c>
      <c r="C1169" s="10" t="s">
        <v>1203</v>
      </c>
      <c r="D1169" s="8" t="s">
        <v>5</v>
      </c>
      <c r="E1169" s="11">
        <v>143510.27</v>
      </c>
    </row>
    <row r="1170" ht="15.0" customHeight="1">
      <c r="A1170" s="4">
        <v>1605.0</v>
      </c>
      <c r="B1170" s="5" t="s">
        <v>1158</v>
      </c>
      <c r="C1170" s="6" t="s">
        <v>1204</v>
      </c>
      <c r="D1170" s="4" t="s">
        <v>5</v>
      </c>
      <c r="E1170" s="7">
        <v>85804.44</v>
      </c>
    </row>
    <row r="1171" ht="15.0" customHeight="1">
      <c r="A1171" s="8">
        <v>1602.0</v>
      </c>
      <c r="B1171" s="9" t="s">
        <v>1158</v>
      </c>
      <c r="C1171" s="10" t="s">
        <v>1205</v>
      </c>
      <c r="D1171" s="8" t="s">
        <v>5</v>
      </c>
      <c r="E1171" s="11">
        <v>102965.35</v>
      </c>
    </row>
    <row r="1172" ht="15.0" customHeight="1">
      <c r="A1172" s="4">
        <v>900.0</v>
      </c>
      <c r="B1172" s="5" t="s">
        <v>1158</v>
      </c>
      <c r="C1172" s="6" t="s">
        <v>1206</v>
      </c>
      <c r="D1172" s="4" t="s">
        <v>5</v>
      </c>
      <c r="E1172" s="7">
        <v>26894.06</v>
      </c>
    </row>
    <row r="1173" ht="15.0" customHeight="1">
      <c r="A1173" s="8">
        <v>1024.0</v>
      </c>
      <c r="B1173" s="9" t="s">
        <v>1158</v>
      </c>
      <c r="C1173" s="10" t="s">
        <v>1207</v>
      </c>
      <c r="D1173" s="8" t="s">
        <v>76</v>
      </c>
      <c r="E1173" s="11">
        <v>25213.17</v>
      </c>
    </row>
    <row r="1174" ht="15.0" customHeight="1">
      <c r="A1174" s="4">
        <v>1596.0</v>
      </c>
      <c r="B1174" s="5" t="s">
        <v>1158</v>
      </c>
      <c r="C1174" s="6" t="s">
        <v>1208</v>
      </c>
      <c r="D1174" s="4" t="s">
        <v>5</v>
      </c>
      <c r="E1174" s="7">
        <v>7543.27</v>
      </c>
    </row>
    <row r="1175" ht="15.0" customHeight="1">
      <c r="A1175" s="8">
        <v>1591.0</v>
      </c>
      <c r="B1175" s="9" t="s">
        <v>1158</v>
      </c>
      <c r="C1175" s="10" t="s">
        <v>1209</v>
      </c>
      <c r="D1175" s="8" t="s">
        <v>76</v>
      </c>
      <c r="E1175" s="11">
        <v>1697.23</v>
      </c>
    </row>
    <row r="1176" ht="15.0" customHeight="1">
      <c r="A1176" s="4">
        <v>983.0</v>
      </c>
      <c r="B1176" s="5" t="s">
        <v>1158</v>
      </c>
      <c r="C1176" s="6" t="s">
        <v>1210</v>
      </c>
      <c r="D1176" s="4" t="s">
        <v>76</v>
      </c>
      <c r="E1176" s="7">
        <v>3340.76</v>
      </c>
    </row>
    <row r="1177" ht="15.0" customHeight="1">
      <c r="A1177" s="8">
        <v>1736.0</v>
      </c>
      <c r="B1177" s="9" t="s">
        <v>1158</v>
      </c>
      <c r="C1177" s="10" t="s">
        <v>1211</v>
      </c>
      <c r="D1177" s="8" t="s">
        <v>76</v>
      </c>
      <c r="E1177" s="11">
        <v>4260.03</v>
      </c>
    </row>
    <row r="1178" ht="15.0" customHeight="1">
      <c r="A1178" s="4">
        <v>1735.0</v>
      </c>
      <c r="B1178" s="5" t="s">
        <v>1158</v>
      </c>
      <c r="C1178" s="6" t="s">
        <v>1212</v>
      </c>
      <c r="D1178" s="4" t="s">
        <v>76</v>
      </c>
      <c r="E1178" s="7">
        <v>4915.42</v>
      </c>
    </row>
    <row r="1179" ht="15.0" customHeight="1">
      <c r="A1179" s="8">
        <v>610.0</v>
      </c>
      <c r="B1179" s="9" t="s">
        <v>1158</v>
      </c>
      <c r="C1179" s="10" t="s">
        <v>1213</v>
      </c>
      <c r="D1179" s="8" t="s">
        <v>76</v>
      </c>
      <c r="E1179" s="11">
        <v>6723.49</v>
      </c>
    </row>
    <row r="1180" ht="15.0" customHeight="1">
      <c r="A1180" s="4">
        <v>609.0</v>
      </c>
      <c r="B1180" s="5" t="s">
        <v>1158</v>
      </c>
      <c r="C1180" s="6" t="s">
        <v>1214</v>
      </c>
      <c r="D1180" s="4" t="s">
        <v>76</v>
      </c>
      <c r="E1180" s="7">
        <v>9454.95</v>
      </c>
    </row>
    <row r="1181" ht="15.0" customHeight="1">
      <c r="A1181" s="8">
        <v>128.0</v>
      </c>
      <c r="B1181" s="9" t="s">
        <v>1158</v>
      </c>
      <c r="C1181" s="10" t="s">
        <v>1215</v>
      </c>
      <c r="D1181" s="8" t="s">
        <v>76</v>
      </c>
      <c r="E1181" s="11">
        <v>19540.22</v>
      </c>
    </row>
    <row r="1182" ht="15.0" customHeight="1">
      <c r="A1182" s="4">
        <v>127.0</v>
      </c>
      <c r="B1182" s="5" t="s">
        <v>1158</v>
      </c>
      <c r="C1182" s="6" t="s">
        <v>1216</v>
      </c>
      <c r="D1182" s="4" t="s">
        <v>76</v>
      </c>
      <c r="E1182" s="7">
        <v>15758.29</v>
      </c>
    </row>
    <row r="1183" ht="15.0" customHeight="1">
      <c r="A1183" s="8">
        <v>1597.0</v>
      </c>
      <c r="B1183" s="9" t="s">
        <v>1158</v>
      </c>
      <c r="C1183" s="10" t="s">
        <v>1217</v>
      </c>
      <c r="D1183" s="8" t="s">
        <v>76</v>
      </c>
      <c r="E1183" s="11">
        <v>9806.2</v>
      </c>
    </row>
    <row r="1184" ht="15.0" customHeight="1">
      <c r="A1184" s="4">
        <v>1598.0</v>
      </c>
      <c r="B1184" s="5" t="s">
        <v>1158</v>
      </c>
      <c r="C1184" s="6" t="s">
        <v>1218</v>
      </c>
      <c r="D1184" s="4" t="s">
        <v>76</v>
      </c>
      <c r="E1184" s="7">
        <v>27344.28</v>
      </c>
    </row>
    <row r="1185" ht="15.0" customHeight="1">
      <c r="A1185" s="8">
        <v>154.0</v>
      </c>
      <c r="B1185" s="9" t="s">
        <v>1158</v>
      </c>
      <c r="C1185" s="10" t="s">
        <v>1219</v>
      </c>
      <c r="D1185" s="8" t="s">
        <v>76</v>
      </c>
      <c r="E1185" s="11">
        <v>4412.3</v>
      </c>
    </row>
    <row r="1186" ht="15.0" customHeight="1">
      <c r="A1186" s="4">
        <v>153.0</v>
      </c>
      <c r="B1186" s="5" t="s">
        <v>1158</v>
      </c>
      <c r="C1186" s="6" t="s">
        <v>1220</v>
      </c>
      <c r="D1186" s="4" t="s">
        <v>76</v>
      </c>
      <c r="E1186" s="7">
        <v>3109.61</v>
      </c>
    </row>
    <row r="1187" ht="15.0" customHeight="1">
      <c r="A1187" s="8">
        <v>496.0</v>
      </c>
      <c r="B1187" s="9" t="s">
        <v>1221</v>
      </c>
      <c r="C1187" s="10" t="s">
        <v>1222</v>
      </c>
      <c r="D1187" s="8" t="s">
        <v>22</v>
      </c>
      <c r="E1187" s="11">
        <v>276368.39</v>
      </c>
    </row>
    <row r="1188" ht="15.0" customHeight="1">
      <c r="A1188" s="4">
        <v>495.0</v>
      </c>
      <c r="B1188" s="5" t="s">
        <v>1221</v>
      </c>
      <c r="C1188" s="6" t="s">
        <v>1223</v>
      </c>
      <c r="D1188" s="4" t="s">
        <v>22</v>
      </c>
      <c r="E1188" s="7">
        <v>276368.39</v>
      </c>
    </row>
    <row r="1189" ht="15.0" customHeight="1">
      <c r="A1189" s="8">
        <v>492.0</v>
      </c>
      <c r="B1189" s="9" t="s">
        <v>1221</v>
      </c>
      <c r="C1189" s="10" t="s">
        <v>1224</v>
      </c>
      <c r="D1189" s="8" t="s">
        <v>22</v>
      </c>
      <c r="E1189" s="11">
        <v>506675.41</v>
      </c>
    </row>
    <row r="1190" ht="15.0" customHeight="1">
      <c r="A1190" s="4">
        <v>493.0</v>
      </c>
      <c r="B1190" s="5" t="s">
        <v>1221</v>
      </c>
      <c r="C1190" s="6" t="s">
        <v>1225</v>
      </c>
      <c r="D1190" s="4" t="s">
        <v>22</v>
      </c>
      <c r="E1190" s="7">
        <v>299399.09</v>
      </c>
    </row>
    <row r="1191" ht="15.0" customHeight="1">
      <c r="A1191" s="8">
        <v>497.0</v>
      </c>
      <c r="B1191" s="9" t="s">
        <v>1221</v>
      </c>
      <c r="C1191" s="10" t="s">
        <v>1226</v>
      </c>
      <c r="D1191" s="8" t="s">
        <v>22</v>
      </c>
      <c r="E1191" s="11">
        <v>276368.39</v>
      </c>
    </row>
    <row r="1192" ht="15.0" customHeight="1">
      <c r="A1192" s="4">
        <v>491.0</v>
      </c>
      <c r="B1192" s="5" t="s">
        <v>1221</v>
      </c>
      <c r="C1192" s="6" t="s">
        <v>1227</v>
      </c>
      <c r="D1192" s="4" t="s">
        <v>22</v>
      </c>
      <c r="E1192" s="7">
        <v>299399.09</v>
      </c>
    </row>
    <row r="1193" ht="15.0" customHeight="1">
      <c r="A1193" s="8">
        <v>494.0</v>
      </c>
      <c r="B1193" s="9" t="s">
        <v>1221</v>
      </c>
      <c r="C1193" s="10" t="s">
        <v>1228</v>
      </c>
      <c r="D1193" s="8" t="s">
        <v>22</v>
      </c>
      <c r="E1193" s="11">
        <v>414552.62</v>
      </c>
    </row>
    <row r="1194" ht="15.0" customHeight="1">
      <c r="A1194" s="4">
        <v>500.0</v>
      </c>
      <c r="B1194" s="5" t="s">
        <v>1221</v>
      </c>
      <c r="C1194" s="6" t="s">
        <v>1229</v>
      </c>
      <c r="D1194" s="4" t="s">
        <v>22</v>
      </c>
      <c r="E1194" s="7">
        <v>552736.82</v>
      </c>
    </row>
    <row r="1195" ht="15.0" customHeight="1">
      <c r="A1195" s="8">
        <v>501.0</v>
      </c>
      <c r="B1195" s="9" t="s">
        <v>1221</v>
      </c>
      <c r="C1195" s="10" t="s">
        <v>1230</v>
      </c>
      <c r="D1195" s="8" t="s">
        <v>22</v>
      </c>
      <c r="E1195" s="11">
        <v>844459.01</v>
      </c>
    </row>
    <row r="1196" ht="15.0" customHeight="1">
      <c r="A1196" s="4">
        <v>498.0</v>
      </c>
      <c r="B1196" s="5" t="s">
        <v>1221</v>
      </c>
      <c r="C1196" s="6" t="s">
        <v>1231</v>
      </c>
      <c r="D1196" s="4" t="s">
        <v>22</v>
      </c>
      <c r="E1196" s="7">
        <v>752336.21</v>
      </c>
    </row>
    <row r="1197" ht="15.0" customHeight="1">
      <c r="A1197" s="8">
        <v>502.0</v>
      </c>
      <c r="B1197" s="9" t="s">
        <v>1221</v>
      </c>
      <c r="C1197" s="10" t="s">
        <v>1232</v>
      </c>
      <c r="D1197" s="8" t="s">
        <v>22</v>
      </c>
      <c r="E1197" s="11">
        <v>568090.6</v>
      </c>
    </row>
    <row r="1198" ht="15.0" customHeight="1">
      <c r="A1198" s="4">
        <v>499.0</v>
      </c>
      <c r="B1198" s="5" t="s">
        <v>1221</v>
      </c>
      <c r="C1198" s="6" t="s">
        <v>1233</v>
      </c>
      <c r="D1198" s="4" t="s">
        <v>22</v>
      </c>
      <c r="E1198" s="7">
        <v>537382.99</v>
      </c>
    </row>
    <row r="1199" ht="15.0" customHeight="1">
      <c r="A1199" s="8">
        <v>1745.0</v>
      </c>
      <c r="B1199" s="9" t="s">
        <v>1221</v>
      </c>
      <c r="C1199" s="10" t="s">
        <v>1234</v>
      </c>
      <c r="D1199" s="8" t="s">
        <v>76</v>
      </c>
      <c r="E1199" s="11">
        <v>14564.2</v>
      </c>
    </row>
    <row r="1200" ht="15.0" customHeight="1">
      <c r="A1200" s="4">
        <v>487.0</v>
      </c>
      <c r="B1200" s="5" t="s">
        <v>1235</v>
      </c>
      <c r="C1200" s="6" t="s">
        <v>1236</v>
      </c>
      <c r="D1200" s="4" t="s">
        <v>22</v>
      </c>
      <c r="E1200" s="7">
        <v>33850.17</v>
      </c>
    </row>
    <row r="1201" ht="15.0" customHeight="1">
      <c r="A1201" s="8">
        <v>486.0</v>
      </c>
      <c r="B1201" s="9" t="s">
        <v>1235</v>
      </c>
      <c r="C1201" s="10" t="s">
        <v>1237</v>
      </c>
      <c r="D1201" s="8" t="s">
        <v>22</v>
      </c>
      <c r="E1201" s="11">
        <v>31105.58</v>
      </c>
    </row>
    <row r="1202" ht="15.0" customHeight="1">
      <c r="A1202" s="4">
        <v>1093.0</v>
      </c>
      <c r="B1202" s="5" t="s">
        <v>1235</v>
      </c>
      <c r="C1202" s="6" t="s">
        <v>1238</v>
      </c>
      <c r="D1202" s="4" t="s">
        <v>22</v>
      </c>
      <c r="E1202" s="7">
        <v>33301.29</v>
      </c>
    </row>
    <row r="1203" ht="15.0" customHeight="1">
      <c r="A1203" s="8">
        <v>489.0</v>
      </c>
      <c r="B1203" s="9" t="s">
        <v>1235</v>
      </c>
      <c r="C1203" s="10" t="s">
        <v>1239</v>
      </c>
      <c r="D1203" s="8" t="s">
        <v>22</v>
      </c>
      <c r="E1203" s="11">
        <v>53062.44</v>
      </c>
    </row>
    <row r="1204" ht="15.0" customHeight="1">
      <c r="A1204" s="4">
        <v>490.0</v>
      </c>
      <c r="B1204" s="5" t="s">
        <v>1235</v>
      </c>
      <c r="C1204" s="6" t="s">
        <v>1240</v>
      </c>
      <c r="D1204" s="4" t="s">
        <v>22</v>
      </c>
      <c r="E1204" s="7">
        <v>63126.01</v>
      </c>
    </row>
    <row r="1205" ht="15.0" customHeight="1">
      <c r="A1205" s="8">
        <v>742.0</v>
      </c>
      <c r="B1205" s="9" t="s">
        <v>1235</v>
      </c>
      <c r="C1205" s="10" t="s">
        <v>1241</v>
      </c>
      <c r="D1205" s="8" t="s">
        <v>22</v>
      </c>
      <c r="E1205" s="11">
        <v>58551.68</v>
      </c>
    </row>
    <row r="1206" ht="15.0" customHeight="1">
      <c r="A1206" s="4">
        <v>1092.0</v>
      </c>
      <c r="B1206" s="5" t="s">
        <v>1235</v>
      </c>
      <c r="C1206" s="6" t="s">
        <v>1242</v>
      </c>
      <c r="D1206" s="4" t="s">
        <v>22</v>
      </c>
      <c r="E1206" s="7">
        <v>58551.68</v>
      </c>
    </row>
    <row r="1207" ht="15.0" customHeight="1">
      <c r="A1207" s="8">
        <v>1091.0</v>
      </c>
      <c r="B1207" s="9" t="s">
        <v>1235</v>
      </c>
      <c r="C1207" s="10" t="s">
        <v>1243</v>
      </c>
      <c r="D1207" s="8" t="s">
        <v>22</v>
      </c>
      <c r="E1207" s="11">
        <v>45743.49</v>
      </c>
    </row>
    <row r="1208" ht="15.0" customHeight="1">
      <c r="A1208" s="4">
        <v>485.0</v>
      </c>
      <c r="B1208" s="5" t="s">
        <v>1235</v>
      </c>
      <c r="C1208" s="6" t="s">
        <v>1244</v>
      </c>
      <c r="D1208" s="4" t="s">
        <v>22</v>
      </c>
      <c r="E1208" s="7">
        <v>42998.84</v>
      </c>
    </row>
    <row r="1209" ht="15.0" customHeight="1">
      <c r="A1209" s="8">
        <v>743.0</v>
      </c>
      <c r="B1209" s="9" t="s">
        <v>1235</v>
      </c>
      <c r="C1209" s="10" t="s">
        <v>1245</v>
      </c>
      <c r="D1209" s="8" t="s">
        <v>22</v>
      </c>
      <c r="E1209" s="11">
        <v>88742.33</v>
      </c>
    </row>
    <row r="1210" ht="15.0" customHeight="1">
      <c r="A1210" s="4">
        <v>1674.0</v>
      </c>
      <c r="B1210" s="5" t="s">
        <v>1246</v>
      </c>
      <c r="C1210" s="6" t="s">
        <v>1247</v>
      </c>
      <c r="D1210" s="4" t="s">
        <v>5</v>
      </c>
      <c r="E1210" s="7">
        <v>90358.32</v>
      </c>
    </row>
    <row r="1211" ht="15.0" customHeight="1">
      <c r="A1211" s="8">
        <v>580.0</v>
      </c>
      <c r="B1211" s="9" t="s">
        <v>1246</v>
      </c>
      <c r="C1211" s="10" t="s">
        <v>1248</v>
      </c>
      <c r="D1211" s="8" t="s">
        <v>5</v>
      </c>
      <c r="E1211" s="11">
        <v>7681.0</v>
      </c>
    </row>
    <row r="1212" ht="15.0" customHeight="1">
      <c r="A1212" s="4">
        <v>576.0</v>
      </c>
      <c r="B1212" s="5" t="s">
        <v>1246</v>
      </c>
      <c r="C1212" s="6" t="s">
        <v>1249</v>
      </c>
      <c r="D1212" s="4" t="s">
        <v>5</v>
      </c>
      <c r="E1212" s="7">
        <v>7011.88</v>
      </c>
    </row>
    <row r="1213" ht="15.0" customHeight="1">
      <c r="A1213" s="8">
        <v>546.0</v>
      </c>
      <c r="B1213" s="9" t="s">
        <v>1246</v>
      </c>
      <c r="C1213" s="10" t="s">
        <v>1250</v>
      </c>
      <c r="D1213" s="8" t="s">
        <v>13</v>
      </c>
      <c r="E1213" s="11">
        <v>28407.12</v>
      </c>
    </row>
    <row r="1214" ht="15.0" customHeight="1">
      <c r="A1214" s="4">
        <v>545.0</v>
      </c>
      <c r="B1214" s="5" t="s">
        <v>1246</v>
      </c>
      <c r="C1214" s="6" t="s">
        <v>1251</v>
      </c>
      <c r="D1214" s="4" t="s">
        <v>5</v>
      </c>
      <c r="E1214" s="7">
        <v>106077.2</v>
      </c>
    </row>
    <row r="1215" ht="15.0" customHeight="1">
      <c r="A1215" s="8">
        <v>1667.0</v>
      </c>
      <c r="B1215" s="9" t="s">
        <v>1246</v>
      </c>
      <c r="C1215" s="10" t="s">
        <v>1252</v>
      </c>
      <c r="D1215" s="8" t="s">
        <v>5</v>
      </c>
      <c r="E1215" s="11">
        <v>75675.09</v>
      </c>
    </row>
    <row r="1216" ht="15.0" customHeight="1">
      <c r="A1216" s="4">
        <v>1670.0</v>
      </c>
      <c r="B1216" s="5" t="s">
        <v>1246</v>
      </c>
      <c r="C1216" s="6" t="s">
        <v>1253</v>
      </c>
      <c r="D1216" s="4" t="s">
        <v>5</v>
      </c>
      <c r="E1216" s="7">
        <v>72448.08</v>
      </c>
    </row>
    <row r="1217" ht="15.0" customHeight="1">
      <c r="A1217" s="8">
        <v>1734.0</v>
      </c>
      <c r="B1217" s="9" t="s">
        <v>1246</v>
      </c>
      <c r="C1217" s="10" t="s">
        <v>1254</v>
      </c>
      <c r="D1217" s="8" t="s">
        <v>13</v>
      </c>
      <c r="E1217" s="11">
        <v>20062.54</v>
      </c>
    </row>
    <row r="1218" ht="15.0" customHeight="1">
      <c r="A1218" s="4">
        <v>583.0</v>
      </c>
      <c r="B1218" s="5" t="s">
        <v>1246</v>
      </c>
      <c r="C1218" s="6" t="s">
        <v>1255</v>
      </c>
      <c r="D1218" s="4" t="s">
        <v>5</v>
      </c>
      <c r="E1218" s="7">
        <v>5753.34</v>
      </c>
    </row>
    <row r="1219" ht="15.0" customHeight="1">
      <c r="A1219" s="8">
        <v>549.0</v>
      </c>
      <c r="B1219" s="9" t="s">
        <v>1246</v>
      </c>
      <c r="C1219" s="10" t="s">
        <v>1256</v>
      </c>
      <c r="D1219" s="8" t="s">
        <v>5</v>
      </c>
      <c r="E1219" s="11">
        <v>18878.12</v>
      </c>
    </row>
    <row r="1220" ht="15.0" customHeight="1">
      <c r="A1220" s="4">
        <v>548.0</v>
      </c>
      <c r="B1220" s="5" t="s">
        <v>1246</v>
      </c>
      <c r="C1220" s="6" t="s">
        <v>1257</v>
      </c>
      <c r="D1220" s="4" t="s">
        <v>5</v>
      </c>
      <c r="E1220" s="7">
        <v>18564.84</v>
      </c>
    </row>
    <row r="1221" ht="15.0" customHeight="1">
      <c r="A1221" s="8">
        <v>1677.0</v>
      </c>
      <c r="B1221" s="9" t="s">
        <v>1246</v>
      </c>
      <c r="C1221" s="10" t="s">
        <v>1258</v>
      </c>
      <c r="D1221" s="8" t="s">
        <v>5</v>
      </c>
      <c r="E1221" s="11">
        <v>78264.67</v>
      </c>
    </row>
    <row r="1222" ht="15.0" customHeight="1">
      <c r="A1222" s="4">
        <v>566.0</v>
      </c>
      <c r="B1222" s="5" t="s">
        <v>1246</v>
      </c>
      <c r="C1222" s="6" t="s">
        <v>1259</v>
      </c>
      <c r="D1222" s="4" t="s">
        <v>5</v>
      </c>
      <c r="E1222" s="7">
        <v>16181.26</v>
      </c>
    </row>
    <row r="1223" ht="15.0" customHeight="1">
      <c r="A1223" s="8">
        <v>567.0</v>
      </c>
      <c r="B1223" s="9" t="s">
        <v>1246</v>
      </c>
      <c r="C1223" s="10" t="s">
        <v>1260</v>
      </c>
      <c r="D1223" s="8" t="s">
        <v>5</v>
      </c>
      <c r="E1223" s="11">
        <v>15282.29</v>
      </c>
    </row>
    <row r="1224" ht="15.0" customHeight="1">
      <c r="A1224" s="4">
        <v>1675.0</v>
      </c>
      <c r="B1224" s="5" t="s">
        <v>1246</v>
      </c>
      <c r="C1224" s="6" t="s">
        <v>1261</v>
      </c>
      <c r="D1224" s="4" t="s">
        <v>5</v>
      </c>
      <c r="E1224" s="7">
        <v>20653.34</v>
      </c>
    </row>
    <row r="1225" ht="15.0" customHeight="1">
      <c r="A1225" s="8">
        <v>565.0</v>
      </c>
      <c r="B1225" s="9" t="s">
        <v>1246</v>
      </c>
      <c r="C1225" s="10" t="s">
        <v>1262</v>
      </c>
      <c r="D1225" s="8" t="s">
        <v>5</v>
      </c>
      <c r="E1225" s="11">
        <v>1600.18</v>
      </c>
    </row>
    <row r="1226" ht="15.0" customHeight="1">
      <c r="A1226" s="4">
        <v>578.0</v>
      </c>
      <c r="B1226" s="5" t="s">
        <v>1246</v>
      </c>
      <c r="C1226" s="6" t="s">
        <v>1263</v>
      </c>
      <c r="D1226" s="4" t="s">
        <v>5</v>
      </c>
      <c r="E1226" s="7">
        <v>44049.01</v>
      </c>
    </row>
    <row r="1227" ht="15.0" customHeight="1">
      <c r="A1227" s="8">
        <v>577.0</v>
      </c>
      <c r="B1227" s="9" t="s">
        <v>1246</v>
      </c>
      <c r="C1227" s="10" t="s">
        <v>1264</v>
      </c>
      <c r="D1227" s="8" t="s">
        <v>5</v>
      </c>
      <c r="E1227" s="11">
        <v>80906.35</v>
      </c>
    </row>
    <row r="1228" ht="15.0" customHeight="1">
      <c r="A1228" s="4">
        <v>643.0</v>
      </c>
      <c r="B1228" s="5" t="s">
        <v>1246</v>
      </c>
      <c r="C1228" s="6" t="s">
        <v>1265</v>
      </c>
      <c r="D1228" s="4" t="s">
        <v>13</v>
      </c>
      <c r="E1228" s="7">
        <v>22473.98</v>
      </c>
    </row>
    <row r="1229" ht="15.0" customHeight="1">
      <c r="A1229" s="8">
        <v>540.0</v>
      </c>
      <c r="B1229" s="9" t="s">
        <v>1246</v>
      </c>
      <c r="C1229" s="10" t="s">
        <v>1266</v>
      </c>
      <c r="D1229" s="8" t="s">
        <v>5</v>
      </c>
      <c r="E1229" s="11">
        <v>19777.1</v>
      </c>
    </row>
    <row r="1230" ht="15.0" customHeight="1">
      <c r="A1230" s="4">
        <v>541.0</v>
      </c>
      <c r="B1230" s="5" t="s">
        <v>1246</v>
      </c>
      <c r="C1230" s="6" t="s">
        <v>1267</v>
      </c>
      <c r="D1230" s="4" t="s">
        <v>5</v>
      </c>
      <c r="E1230" s="7">
        <v>73714.68</v>
      </c>
    </row>
    <row r="1231" ht="15.0" customHeight="1">
      <c r="A1231" s="8">
        <v>1669.0</v>
      </c>
      <c r="B1231" s="9" t="s">
        <v>1246</v>
      </c>
      <c r="C1231" s="10" t="s">
        <v>1268</v>
      </c>
      <c r="D1231" s="8" t="s">
        <v>5</v>
      </c>
      <c r="E1231" s="11">
        <v>152318.33</v>
      </c>
    </row>
    <row r="1232" ht="15.0" customHeight="1">
      <c r="A1232" s="4">
        <v>542.0</v>
      </c>
      <c r="B1232" s="5" t="s">
        <v>1246</v>
      </c>
      <c r="C1232" s="6" t="s">
        <v>1269</v>
      </c>
      <c r="D1232" s="4" t="s">
        <v>5</v>
      </c>
      <c r="E1232" s="7">
        <v>25170.86</v>
      </c>
    </row>
    <row r="1233" ht="15.0" customHeight="1">
      <c r="A1233" s="8">
        <v>1668.0</v>
      </c>
      <c r="B1233" s="9" t="s">
        <v>1246</v>
      </c>
      <c r="C1233" s="10" t="s">
        <v>1270</v>
      </c>
      <c r="D1233" s="8" t="s">
        <v>5</v>
      </c>
      <c r="E1233" s="11">
        <v>88744.78</v>
      </c>
    </row>
    <row r="1234" ht="15.0" customHeight="1">
      <c r="A1234" s="4">
        <v>642.0</v>
      </c>
      <c r="B1234" s="5" t="s">
        <v>1246</v>
      </c>
      <c r="C1234" s="6" t="s">
        <v>1271</v>
      </c>
      <c r="D1234" s="4" t="s">
        <v>13</v>
      </c>
      <c r="E1234" s="7">
        <v>21575.04</v>
      </c>
    </row>
    <row r="1235" ht="15.0" customHeight="1">
      <c r="A1235" s="8">
        <v>1676.0</v>
      </c>
      <c r="B1235" s="9" t="s">
        <v>1246</v>
      </c>
      <c r="C1235" s="10" t="s">
        <v>1272</v>
      </c>
      <c r="D1235" s="8" t="s">
        <v>5</v>
      </c>
      <c r="E1235" s="11">
        <v>208944.93</v>
      </c>
    </row>
    <row r="1236" ht="15.0" customHeight="1">
      <c r="A1236" s="4">
        <v>639.0</v>
      </c>
      <c r="B1236" s="5" t="s">
        <v>1246</v>
      </c>
      <c r="C1236" s="6" t="s">
        <v>1273</v>
      </c>
      <c r="D1236" s="4" t="s">
        <v>13</v>
      </c>
      <c r="E1236" s="7">
        <v>7551.26</v>
      </c>
    </row>
    <row r="1237" ht="15.0" customHeight="1">
      <c r="A1237" s="8">
        <v>547.0</v>
      </c>
      <c r="B1237" s="9" t="s">
        <v>1246</v>
      </c>
      <c r="C1237" s="10" t="s">
        <v>1274</v>
      </c>
      <c r="D1237" s="8" t="s">
        <v>5</v>
      </c>
      <c r="E1237" s="11">
        <v>25170.86</v>
      </c>
    </row>
    <row r="1238" ht="15.0" customHeight="1">
      <c r="A1238" s="4">
        <v>551.0</v>
      </c>
      <c r="B1238" s="5" t="s">
        <v>1246</v>
      </c>
      <c r="C1238" s="6" t="s">
        <v>1275</v>
      </c>
      <c r="D1238" s="4" t="s">
        <v>5</v>
      </c>
      <c r="E1238" s="7">
        <v>71916.75</v>
      </c>
    </row>
    <row r="1239" ht="15.0" customHeight="1">
      <c r="A1239" s="8">
        <v>1673.0</v>
      </c>
      <c r="B1239" s="9" t="s">
        <v>1246</v>
      </c>
      <c r="C1239" s="10" t="s">
        <v>1276</v>
      </c>
      <c r="D1239" s="8" t="s">
        <v>5</v>
      </c>
      <c r="E1239" s="11">
        <v>203144.89</v>
      </c>
    </row>
    <row r="1240" ht="15.0" customHeight="1">
      <c r="A1240" s="4">
        <v>1672.0</v>
      </c>
      <c r="B1240" s="5" t="s">
        <v>1246</v>
      </c>
      <c r="C1240" s="6" t="s">
        <v>1277</v>
      </c>
      <c r="D1240" s="4" t="s">
        <v>5</v>
      </c>
      <c r="E1240" s="7">
        <v>60507.78</v>
      </c>
    </row>
    <row r="1241" ht="15.0" customHeight="1">
      <c r="A1241" s="8">
        <v>568.0</v>
      </c>
      <c r="B1241" s="9" t="s">
        <v>1246</v>
      </c>
      <c r="C1241" s="10" t="s">
        <v>1278</v>
      </c>
      <c r="D1241" s="8" t="s">
        <v>5</v>
      </c>
      <c r="E1241" s="11">
        <v>109673.02</v>
      </c>
    </row>
    <row r="1242" ht="15.0" customHeight="1">
      <c r="A1242" s="4">
        <v>641.0</v>
      </c>
      <c r="B1242" s="5" t="s">
        <v>1246</v>
      </c>
      <c r="C1242" s="6" t="s">
        <v>1279</v>
      </c>
      <c r="D1242" s="4" t="s">
        <v>13</v>
      </c>
      <c r="E1242" s="7">
        <v>14383.33</v>
      </c>
    </row>
    <row r="1243" ht="15.0" customHeight="1">
      <c r="A1243" s="8">
        <v>543.0</v>
      </c>
      <c r="B1243" s="9" t="s">
        <v>1246</v>
      </c>
      <c r="C1243" s="10" t="s">
        <v>1280</v>
      </c>
      <c r="D1243" s="8" t="s">
        <v>5</v>
      </c>
      <c r="E1243" s="11">
        <v>57533.42</v>
      </c>
    </row>
    <row r="1244" ht="15.0" customHeight="1">
      <c r="A1244" s="4">
        <v>1671.0</v>
      </c>
      <c r="B1244" s="5" t="s">
        <v>1246</v>
      </c>
      <c r="C1244" s="6" t="s">
        <v>1281</v>
      </c>
      <c r="D1244" s="4" t="s">
        <v>5</v>
      </c>
      <c r="E1244" s="7">
        <v>31948.14</v>
      </c>
    </row>
    <row r="1245" ht="15.0" customHeight="1">
      <c r="A1245" s="8">
        <v>544.0</v>
      </c>
      <c r="B1245" s="9" t="s">
        <v>1246</v>
      </c>
      <c r="C1245" s="10" t="s">
        <v>1282</v>
      </c>
      <c r="D1245" s="8" t="s">
        <v>5</v>
      </c>
      <c r="E1245" s="11">
        <v>64725.07</v>
      </c>
    </row>
    <row r="1246" ht="15.0" customHeight="1">
      <c r="A1246" s="4">
        <v>538.0</v>
      </c>
      <c r="B1246" s="5" t="s">
        <v>1246</v>
      </c>
      <c r="C1246" s="6" t="s">
        <v>1283</v>
      </c>
      <c r="D1246" s="4" t="s">
        <v>5</v>
      </c>
      <c r="E1246" s="7">
        <v>57533.42</v>
      </c>
    </row>
    <row r="1247" ht="15.0" customHeight="1">
      <c r="A1247" s="8">
        <v>539.0</v>
      </c>
      <c r="B1247" s="9" t="s">
        <v>1246</v>
      </c>
      <c r="C1247" s="10" t="s">
        <v>1284</v>
      </c>
      <c r="D1247" s="8" t="s">
        <v>5</v>
      </c>
      <c r="E1247" s="11">
        <v>43150.03</v>
      </c>
    </row>
    <row r="1248" ht="15.0" customHeight="1">
      <c r="A1248" s="4">
        <v>236.0</v>
      </c>
      <c r="B1248" s="5" t="s">
        <v>1246</v>
      </c>
      <c r="C1248" s="6" t="s">
        <v>1285</v>
      </c>
      <c r="D1248" s="4" t="s">
        <v>5</v>
      </c>
      <c r="E1248" s="7">
        <v>195822.65</v>
      </c>
    </row>
    <row r="1249" ht="15.0" customHeight="1">
      <c r="A1249" s="8">
        <v>640.0</v>
      </c>
      <c r="B1249" s="9" t="s">
        <v>1246</v>
      </c>
      <c r="C1249" s="10" t="s">
        <v>1286</v>
      </c>
      <c r="D1249" s="8" t="s">
        <v>13</v>
      </c>
      <c r="E1249" s="11">
        <v>17080.23</v>
      </c>
    </row>
    <row r="1250" ht="15.0" customHeight="1">
      <c r="A1250" s="4">
        <v>638.0</v>
      </c>
      <c r="B1250" s="5" t="s">
        <v>1246</v>
      </c>
      <c r="C1250" s="6" t="s">
        <v>1287</v>
      </c>
      <c r="D1250" s="4" t="s">
        <v>13</v>
      </c>
      <c r="E1250" s="7">
        <v>15282.29</v>
      </c>
    </row>
    <row r="1251" ht="15.0" customHeight="1">
      <c r="A1251" s="8">
        <v>569.0</v>
      </c>
      <c r="B1251" s="9" t="s">
        <v>1246</v>
      </c>
      <c r="C1251" s="10" t="s">
        <v>1288</v>
      </c>
      <c r="D1251" s="8" t="s">
        <v>5</v>
      </c>
      <c r="E1251" s="11">
        <v>75512.63</v>
      </c>
    </row>
    <row r="1252" ht="15.0" customHeight="1">
      <c r="A1252" s="4">
        <v>582.0</v>
      </c>
      <c r="B1252" s="5" t="s">
        <v>1246</v>
      </c>
      <c r="C1252" s="6" t="s">
        <v>1289</v>
      </c>
      <c r="D1252" s="4" t="s">
        <v>5</v>
      </c>
      <c r="E1252" s="7">
        <v>1078.75</v>
      </c>
    </row>
    <row r="1253" ht="15.0" customHeight="1">
      <c r="A1253" s="8">
        <v>581.0</v>
      </c>
      <c r="B1253" s="9" t="s">
        <v>1246</v>
      </c>
      <c r="C1253" s="10" t="s">
        <v>1290</v>
      </c>
      <c r="D1253" s="8" t="s">
        <v>5</v>
      </c>
      <c r="E1253" s="11">
        <v>21215.44</v>
      </c>
    </row>
    <row r="1254" ht="15.0" customHeight="1">
      <c r="A1254" s="4">
        <v>570.0</v>
      </c>
      <c r="B1254" s="5" t="s">
        <v>1246</v>
      </c>
      <c r="C1254" s="6" t="s">
        <v>1291</v>
      </c>
      <c r="D1254" s="4" t="s">
        <v>5</v>
      </c>
      <c r="E1254" s="7">
        <v>14383.33</v>
      </c>
    </row>
    <row r="1255" ht="15.0" customHeight="1">
      <c r="A1255" s="8">
        <v>571.0</v>
      </c>
      <c r="B1255" s="9" t="s">
        <v>1246</v>
      </c>
      <c r="C1255" s="10" t="s">
        <v>1292</v>
      </c>
      <c r="D1255" s="8" t="s">
        <v>5</v>
      </c>
      <c r="E1255" s="11">
        <v>8090.64</v>
      </c>
    </row>
    <row r="1256" ht="15.0" customHeight="1">
      <c r="A1256" s="4">
        <v>564.0</v>
      </c>
      <c r="B1256" s="5" t="s">
        <v>1246</v>
      </c>
      <c r="C1256" s="6" t="s">
        <v>1293</v>
      </c>
      <c r="D1256" s="4" t="s">
        <v>5</v>
      </c>
      <c r="E1256" s="7">
        <v>72635.92</v>
      </c>
    </row>
    <row r="1257" ht="15.0" customHeight="1">
      <c r="A1257" s="8">
        <v>579.0</v>
      </c>
      <c r="B1257" s="9" t="s">
        <v>1246</v>
      </c>
      <c r="C1257" s="10" t="s">
        <v>1294</v>
      </c>
      <c r="D1257" s="8" t="s">
        <v>5</v>
      </c>
      <c r="E1257" s="11">
        <v>8630.01</v>
      </c>
    </row>
    <row r="1258" ht="15.0" customHeight="1">
      <c r="A1258" s="4">
        <v>1664.0</v>
      </c>
      <c r="B1258" s="5" t="s">
        <v>1295</v>
      </c>
      <c r="C1258" s="6" t="s">
        <v>1296</v>
      </c>
      <c r="D1258" s="4" t="s">
        <v>22</v>
      </c>
      <c r="E1258" s="7">
        <v>46401.17</v>
      </c>
    </row>
    <row r="1259" ht="15.0" customHeight="1">
      <c r="A1259" s="8">
        <v>465.0</v>
      </c>
      <c r="B1259" s="9" t="s">
        <v>1295</v>
      </c>
      <c r="C1259" s="10" t="s">
        <v>1297</v>
      </c>
      <c r="D1259" s="8" t="s">
        <v>22</v>
      </c>
      <c r="E1259" s="11">
        <v>71799.67</v>
      </c>
    </row>
    <row r="1260" ht="15.0" customHeight="1">
      <c r="A1260" s="4">
        <v>463.0</v>
      </c>
      <c r="B1260" s="5" t="s">
        <v>1295</v>
      </c>
      <c r="C1260" s="6" t="s">
        <v>1298</v>
      </c>
      <c r="D1260" s="4" t="s">
        <v>22</v>
      </c>
      <c r="E1260" s="7">
        <v>62824.73</v>
      </c>
    </row>
    <row r="1261" ht="15.0" customHeight="1">
      <c r="A1261" s="8">
        <v>464.0</v>
      </c>
      <c r="B1261" s="9" t="s">
        <v>1295</v>
      </c>
      <c r="C1261" s="10" t="s">
        <v>1299</v>
      </c>
      <c r="D1261" s="8" t="s">
        <v>22</v>
      </c>
      <c r="E1261" s="11">
        <v>34104.87</v>
      </c>
    </row>
    <row r="1262" ht="15.0" customHeight="1">
      <c r="A1262" s="4">
        <v>732.0</v>
      </c>
      <c r="B1262" s="5" t="s">
        <v>1295</v>
      </c>
      <c r="C1262" s="6" t="s">
        <v>1300</v>
      </c>
      <c r="D1262" s="4" t="s">
        <v>22</v>
      </c>
      <c r="E1262" s="7">
        <v>39489.84</v>
      </c>
    </row>
    <row r="1263" ht="15.0" customHeight="1">
      <c r="A1263" s="8">
        <v>733.0</v>
      </c>
      <c r="B1263" s="9" t="s">
        <v>1295</v>
      </c>
      <c r="C1263" s="10" t="s">
        <v>1301</v>
      </c>
      <c r="D1263" s="8" t="s">
        <v>22</v>
      </c>
      <c r="E1263" s="11">
        <v>44874.8</v>
      </c>
    </row>
    <row r="1264" ht="15.0" customHeight="1">
      <c r="A1264" s="4">
        <v>1510.0</v>
      </c>
      <c r="B1264" s="5" t="s">
        <v>1295</v>
      </c>
      <c r="C1264" s="6" t="s">
        <v>1302</v>
      </c>
      <c r="D1264" s="4" t="s">
        <v>22</v>
      </c>
      <c r="E1264" s="7">
        <v>30020.87</v>
      </c>
    </row>
    <row r="1265" ht="15.0" customHeight="1">
      <c r="A1265" s="8">
        <v>1511.0</v>
      </c>
      <c r="B1265" s="9" t="s">
        <v>1295</v>
      </c>
      <c r="C1265" s="10" t="s">
        <v>1303</v>
      </c>
      <c r="D1265" s="8" t="s">
        <v>22</v>
      </c>
      <c r="E1265" s="11">
        <v>49102.16</v>
      </c>
    </row>
    <row r="1266" ht="15.0" customHeight="1">
      <c r="A1266" s="4">
        <v>1512.0</v>
      </c>
      <c r="B1266" s="5" t="s">
        <v>1295</v>
      </c>
      <c r="C1266" s="6" t="s">
        <v>1304</v>
      </c>
      <c r="D1266" s="4" t="s">
        <v>22</v>
      </c>
      <c r="E1266" s="7">
        <v>87786.19</v>
      </c>
    </row>
    <row r="1267" ht="15.0" customHeight="1">
      <c r="A1267" s="8">
        <v>1515.0</v>
      </c>
      <c r="B1267" s="9" t="s">
        <v>1295</v>
      </c>
      <c r="C1267" s="10" t="s">
        <v>1305</v>
      </c>
      <c r="D1267" s="8" t="s">
        <v>22</v>
      </c>
      <c r="E1267" s="11">
        <v>81098.64</v>
      </c>
    </row>
    <row r="1268" ht="15.0" customHeight="1">
      <c r="A1268" s="4">
        <v>1514.0</v>
      </c>
      <c r="B1268" s="5" t="s">
        <v>1295</v>
      </c>
      <c r="C1268" s="6" t="s">
        <v>1306</v>
      </c>
      <c r="D1268" s="4" t="s">
        <v>22</v>
      </c>
      <c r="E1268" s="7">
        <v>22638.9</v>
      </c>
    </row>
    <row r="1269" ht="15.0" customHeight="1">
      <c r="A1269" s="8">
        <v>417.0</v>
      </c>
      <c r="B1269" s="9" t="s">
        <v>1295</v>
      </c>
      <c r="C1269" s="10" t="s">
        <v>1307</v>
      </c>
      <c r="D1269" s="8" t="s">
        <v>22</v>
      </c>
      <c r="E1269" s="11">
        <v>25929.29</v>
      </c>
    </row>
    <row r="1270" ht="15.0" customHeight="1">
      <c r="A1270" s="4">
        <v>419.0</v>
      </c>
      <c r="B1270" s="5" t="s">
        <v>1295</v>
      </c>
      <c r="C1270" s="6" t="s">
        <v>1308</v>
      </c>
      <c r="D1270" s="4" t="s">
        <v>22</v>
      </c>
      <c r="E1270" s="7">
        <v>36911.86</v>
      </c>
    </row>
    <row r="1271" ht="15.0" customHeight="1">
      <c r="A1271" s="8">
        <v>728.0</v>
      </c>
      <c r="B1271" s="9" t="s">
        <v>1295</v>
      </c>
      <c r="C1271" s="10" t="s">
        <v>1309</v>
      </c>
      <c r="D1271" s="8" t="s">
        <v>22</v>
      </c>
      <c r="E1271" s="11">
        <v>43632.33</v>
      </c>
    </row>
    <row r="1272" ht="15.0" customHeight="1">
      <c r="A1272" s="4">
        <v>729.0</v>
      </c>
      <c r="B1272" s="5" t="s">
        <v>1295</v>
      </c>
      <c r="C1272" s="6" t="s">
        <v>1310</v>
      </c>
      <c r="D1272" s="4" t="s">
        <v>22</v>
      </c>
      <c r="E1272" s="7">
        <v>50354.27</v>
      </c>
    </row>
    <row r="1273" ht="15.0" customHeight="1">
      <c r="A1273" s="8">
        <v>847.0</v>
      </c>
      <c r="B1273" s="9" t="s">
        <v>1295</v>
      </c>
      <c r="C1273" s="10" t="s">
        <v>1311</v>
      </c>
      <c r="D1273" s="8" t="s">
        <v>22</v>
      </c>
      <c r="E1273" s="11">
        <v>43632.33</v>
      </c>
    </row>
    <row r="1274" ht="15.0" customHeight="1">
      <c r="A1274" s="4">
        <v>848.0</v>
      </c>
      <c r="B1274" s="5" t="s">
        <v>1295</v>
      </c>
      <c r="C1274" s="6" t="s">
        <v>1312</v>
      </c>
      <c r="D1274" s="4" t="s">
        <v>22</v>
      </c>
      <c r="E1274" s="7">
        <v>50354.27</v>
      </c>
    </row>
    <row r="1275" ht="15.0" customHeight="1">
      <c r="A1275" s="8">
        <v>849.0</v>
      </c>
      <c r="B1275" s="9" t="s">
        <v>1295</v>
      </c>
      <c r="C1275" s="10" t="s">
        <v>1313</v>
      </c>
      <c r="D1275" s="8" t="s">
        <v>22</v>
      </c>
      <c r="E1275" s="11">
        <v>57074.78</v>
      </c>
    </row>
    <row r="1276" ht="15.0" customHeight="1">
      <c r="A1276" s="4">
        <v>1094.0</v>
      </c>
      <c r="B1276" s="5" t="s">
        <v>1295</v>
      </c>
      <c r="C1276" s="6" t="s">
        <v>1314</v>
      </c>
      <c r="D1276" s="4" t="s">
        <v>22</v>
      </c>
      <c r="E1276" s="7">
        <v>39205.52</v>
      </c>
    </row>
    <row r="1277" ht="15.0" customHeight="1">
      <c r="A1277" s="8">
        <v>418.0</v>
      </c>
      <c r="B1277" s="9" t="s">
        <v>1295</v>
      </c>
      <c r="C1277" s="10" t="s">
        <v>1315</v>
      </c>
      <c r="D1277" s="8" t="s">
        <v>22</v>
      </c>
      <c r="E1277" s="11">
        <v>35069.5</v>
      </c>
    </row>
    <row r="1278" ht="15.0" customHeight="1">
      <c r="A1278" s="4">
        <v>1072.0</v>
      </c>
      <c r="B1278" s="5" t="s">
        <v>1295</v>
      </c>
      <c r="C1278" s="6" t="s">
        <v>1316</v>
      </c>
      <c r="D1278" s="4" t="s">
        <v>5</v>
      </c>
      <c r="E1278" s="7">
        <v>27390.17</v>
      </c>
    </row>
    <row r="1279" ht="15.0" customHeight="1">
      <c r="A1279" s="8">
        <v>1071.0</v>
      </c>
      <c r="B1279" s="9" t="s">
        <v>1295</v>
      </c>
      <c r="C1279" s="10" t="s">
        <v>1317</v>
      </c>
      <c r="D1279" s="8" t="s">
        <v>5</v>
      </c>
      <c r="E1279" s="11">
        <v>12083.87</v>
      </c>
    </row>
    <row r="1280" ht="15.0" customHeight="1">
      <c r="A1280" s="4">
        <v>435.0</v>
      </c>
      <c r="B1280" s="5" t="s">
        <v>1295</v>
      </c>
      <c r="C1280" s="6" t="s">
        <v>1318</v>
      </c>
      <c r="D1280" s="4" t="s">
        <v>22</v>
      </c>
      <c r="E1280" s="7">
        <v>33002.19</v>
      </c>
    </row>
    <row r="1281" ht="15.0" customHeight="1">
      <c r="A1281" s="8">
        <v>736.0</v>
      </c>
      <c r="B1281" s="9" t="s">
        <v>1295</v>
      </c>
      <c r="C1281" s="10" t="s">
        <v>1319</v>
      </c>
      <c r="D1281" s="8" t="s">
        <v>22</v>
      </c>
      <c r="E1281" s="11">
        <v>51241.09</v>
      </c>
    </row>
    <row r="1282" ht="15.0" customHeight="1">
      <c r="A1282" s="4">
        <v>737.0</v>
      </c>
      <c r="B1282" s="5" t="s">
        <v>1295</v>
      </c>
      <c r="C1282" s="6" t="s">
        <v>1320</v>
      </c>
      <c r="D1282" s="4" t="s">
        <v>22</v>
      </c>
      <c r="E1282" s="7">
        <v>50431.64</v>
      </c>
    </row>
    <row r="1283" ht="15.0" customHeight="1">
      <c r="A1283" s="8">
        <v>434.0</v>
      </c>
      <c r="B1283" s="9" t="s">
        <v>1295</v>
      </c>
      <c r="C1283" s="10" t="s">
        <v>1321</v>
      </c>
      <c r="D1283" s="8" t="s">
        <v>22</v>
      </c>
      <c r="E1283" s="11">
        <v>55186.57</v>
      </c>
    </row>
    <row r="1284" ht="15.0" customHeight="1">
      <c r="A1284" s="4">
        <v>1041.0</v>
      </c>
      <c r="B1284" s="5" t="s">
        <v>1295</v>
      </c>
      <c r="C1284" s="6" t="s">
        <v>1322</v>
      </c>
      <c r="D1284" s="4" t="s">
        <v>5</v>
      </c>
      <c r="E1284" s="7">
        <v>522076.79</v>
      </c>
    </row>
    <row r="1285" ht="15.0" customHeight="1">
      <c r="A1285" s="8">
        <v>422.0</v>
      </c>
      <c r="B1285" s="9" t="s">
        <v>1295</v>
      </c>
      <c r="C1285" s="10" t="s">
        <v>1323</v>
      </c>
      <c r="D1285" s="8" t="s">
        <v>22</v>
      </c>
      <c r="E1285" s="11">
        <v>33230.71</v>
      </c>
    </row>
    <row r="1286" ht="15.0" customHeight="1">
      <c r="A1286" s="4">
        <v>423.0</v>
      </c>
      <c r="B1286" s="5" t="s">
        <v>1295</v>
      </c>
      <c r="C1286" s="6" t="s">
        <v>1324</v>
      </c>
      <c r="D1286" s="4" t="s">
        <v>22</v>
      </c>
      <c r="E1286" s="7">
        <v>47172.87</v>
      </c>
    </row>
    <row r="1287" ht="15.0" customHeight="1">
      <c r="A1287" s="8">
        <v>484.0</v>
      </c>
      <c r="B1287" s="9" t="s">
        <v>1295</v>
      </c>
      <c r="C1287" s="10" t="s">
        <v>1325</v>
      </c>
      <c r="D1287" s="8" t="s">
        <v>5</v>
      </c>
      <c r="E1287" s="11">
        <v>11278.28</v>
      </c>
    </row>
    <row r="1288" ht="15.0" customHeight="1">
      <c r="A1288" s="4">
        <v>483.0</v>
      </c>
      <c r="B1288" s="5" t="s">
        <v>1295</v>
      </c>
      <c r="C1288" s="6" t="s">
        <v>1326</v>
      </c>
      <c r="D1288" s="4" t="s">
        <v>5</v>
      </c>
      <c r="E1288" s="7">
        <v>54377.51</v>
      </c>
    </row>
    <row r="1289" ht="15.0" customHeight="1">
      <c r="A1289" s="8">
        <v>482.0</v>
      </c>
      <c r="B1289" s="9" t="s">
        <v>1295</v>
      </c>
      <c r="C1289" s="10" t="s">
        <v>1327</v>
      </c>
      <c r="D1289" s="8" t="s">
        <v>5</v>
      </c>
      <c r="E1289" s="11">
        <v>35244.68</v>
      </c>
    </row>
    <row r="1290" ht="15.0" customHeight="1">
      <c r="A1290" s="4">
        <v>442.0</v>
      </c>
      <c r="B1290" s="5" t="s">
        <v>1295</v>
      </c>
      <c r="C1290" s="6" t="s">
        <v>1328</v>
      </c>
      <c r="D1290" s="4" t="s">
        <v>22</v>
      </c>
      <c r="E1290" s="7">
        <v>58405.48</v>
      </c>
    </row>
    <row r="1291" ht="15.0" customHeight="1">
      <c r="A1291" s="8">
        <v>441.0</v>
      </c>
      <c r="B1291" s="9" t="s">
        <v>1295</v>
      </c>
      <c r="C1291" s="10" t="s">
        <v>1329</v>
      </c>
      <c r="D1291" s="8" t="s">
        <v>22</v>
      </c>
      <c r="E1291" s="11">
        <v>50349.54</v>
      </c>
    </row>
    <row r="1292" ht="15.0" customHeight="1">
      <c r="A1292" s="4">
        <v>438.0</v>
      </c>
      <c r="B1292" s="5" t="s">
        <v>1295</v>
      </c>
      <c r="C1292" s="6" t="s">
        <v>1330</v>
      </c>
      <c r="D1292" s="4" t="s">
        <v>22</v>
      </c>
      <c r="E1292" s="7">
        <v>44307.61</v>
      </c>
    </row>
    <row r="1293" ht="15.0" customHeight="1">
      <c r="A1293" s="8">
        <v>439.0</v>
      </c>
      <c r="B1293" s="9" t="s">
        <v>1295</v>
      </c>
      <c r="C1293" s="10" t="s">
        <v>1331</v>
      </c>
      <c r="D1293" s="8" t="s">
        <v>22</v>
      </c>
      <c r="E1293" s="11">
        <v>46321.59</v>
      </c>
    </row>
    <row r="1294" ht="15.0" customHeight="1">
      <c r="A1294" s="4">
        <v>440.0</v>
      </c>
      <c r="B1294" s="5" t="s">
        <v>1295</v>
      </c>
      <c r="C1294" s="6" t="s">
        <v>1332</v>
      </c>
      <c r="D1294" s="4" t="s">
        <v>22</v>
      </c>
      <c r="E1294" s="7">
        <v>42293.6</v>
      </c>
    </row>
    <row r="1295" ht="15.0" customHeight="1">
      <c r="A1295" s="8">
        <v>436.0</v>
      </c>
      <c r="B1295" s="9" t="s">
        <v>1295</v>
      </c>
      <c r="C1295" s="10" t="s">
        <v>1333</v>
      </c>
      <c r="D1295" s="8" t="s">
        <v>22</v>
      </c>
      <c r="E1295" s="11">
        <v>50349.54</v>
      </c>
    </row>
    <row r="1296" ht="15.0" customHeight="1">
      <c r="A1296" s="4">
        <v>1533.0</v>
      </c>
      <c r="B1296" s="5" t="s">
        <v>1295</v>
      </c>
      <c r="C1296" s="6" t="s">
        <v>1334</v>
      </c>
      <c r="D1296" s="4" t="s">
        <v>22</v>
      </c>
      <c r="E1296" s="7">
        <v>24258.83</v>
      </c>
    </row>
    <row r="1297" ht="15.0" customHeight="1">
      <c r="A1297" s="8">
        <v>437.0</v>
      </c>
      <c r="B1297" s="9" t="s">
        <v>1295</v>
      </c>
      <c r="C1297" s="10" t="s">
        <v>1335</v>
      </c>
      <c r="D1297" s="8" t="s">
        <v>22</v>
      </c>
      <c r="E1297" s="11">
        <v>54377.51</v>
      </c>
    </row>
    <row r="1298" ht="15.0" customHeight="1">
      <c r="A1298" s="4">
        <v>1522.0</v>
      </c>
      <c r="B1298" s="5" t="s">
        <v>1295</v>
      </c>
      <c r="C1298" s="6" t="s">
        <v>1336</v>
      </c>
      <c r="D1298" s="4" t="s">
        <v>22</v>
      </c>
      <c r="E1298" s="7">
        <v>40702.78</v>
      </c>
    </row>
    <row r="1299" ht="15.0" customHeight="1">
      <c r="A1299" s="8">
        <v>1520.0</v>
      </c>
      <c r="B1299" s="9" t="s">
        <v>1295</v>
      </c>
      <c r="C1299" s="10" t="s">
        <v>1337</v>
      </c>
      <c r="D1299" s="8" t="s">
        <v>22</v>
      </c>
      <c r="E1299" s="11">
        <v>29305.99</v>
      </c>
    </row>
    <row r="1300" ht="15.0" customHeight="1">
      <c r="A1300" s="4">
        <v>1521.0</v>
      </c>
      <c r="B1300" s="5" t="s">
        <v>1295</v>
      </c>
      <c r="C1300" s="6" t="s">
        <v>1338</v>
      </c>
      <c r="D1300" s="4" t="s">
        <v>22</v>
      </c>
      <c r="E1300" s="7">
        <v>34190.34</v>
      </c>
    </row>
    <row r="1301" ht="15.0" customHeight="1">
      <c r="A1301" s="8">
        <v>443.0</v>
      </c>
      <c r="B1301" s="9" t="s">
        <v>1295</v>
      </c>
      <c r="C1301" s="10" t="s">
        <v>1339</v>
      </c>
      <c r="D1301" s="8" t="s">
        <v>22</v>
      </c>
      <c r="E1301" s="11">
        <v>40279.64</v>
      </c>
    </row>
    <row r="1302" ht="15.0" customHeight="1">
      <c r="A1302" s="4">
        <v>734.0</v>
      </c>
      <c r="B1302" s="5" t="s">
        <v>1295</v>
      </c>
      <c r="C1302" s="6" t="s">
        <v>1340</v>
      </c>
      <c r="D1302" s="4" t="s">
        <v>22</v>
      </c>
      <c r="E1302" s="7">
        <v>48335.57</v>
      </c>
    </row>
    <row r="1303" ht="15.0" customHeight="1">
      <c r="A1303" s="8">
        <v>735.0</v>
      </c>
      <c r="B1303" s="9" t="s">
        <v>1295</v>
      </c>
      <c r="C1303" s="10" t="s">
        <v>1341</v>
      </c>
      <c r="D1303" s="8" t="s">
        <v>22</v>
      </c>
      <c r="E1303" s="11">
        <v>55384.49</v>
      </c>
    </row>
    <row r="1304" ht="15.0" customHeight="1">
      <c r="A1304" s="4">
        <v>1534.0</v>
      </c>
      <c r="B1304" s="5" t="s">
        <v>1295</v>
      </c>
      <c r="C1304" s="6" t="s">
        <v>1342</v>
      </c>
      <c r="D1304" s="4" t="s">
        <v>22</v>
      </c>
      <c r="E1304" s="7">
        <v>68380.68</v>
      </c>
    </row>
    <row r="1305" ht="15.0" customHeight="1">
      <c r="A1305" s="8">
        <v>1525.0</v>
      </c>
      <c r="B1305" s="9" t="s">
        <v>1295</v>
      </c>
      <c r="C1305" s="10" t="s">
        <v>1343</v>
      </c>
      <c r="D1305" s="8" t="s">
        <v>22</v>
      </c>
      <c r="E1305" s="11">
        <v>33505.58</v>
      </c>
    </row>
    <row r="1306" ht="15.0" customHeight="1">
      <c r="A1306" s="4">
        <v>1526.0</v>
      </c>
      <c r="B1306" s="5" t="s">
        <v>1295</v>
      </c>
      <c r="C1306" s="6" t="s">
        <v>1344</v>
      </c>
      <c r="D1306" s="4" t="s">
        <v>22</v>
      </c>
      <c r="E1306" s="7">
        <v>52522.22</v>
      </c>
    </row>
    <row r="1307" ht="15.0" customHeight="1">
      <c r="A1307" s="8">
        <v>1096.0</v>
      </c>
      <c r="B1307" s="9" t="s">
        <v>1295</v>
      </c>
      <c r="C1307" s="10" t="s">
        <v>1345</v>
      </c>
      <c r="D1307" s="8" t="s">
        <v>22</v>
      </c>
      <c r="E1307" s="11">
        <v>49759.67</v>
      </c>
    </row>
    <row r="1308" ht="15.0" customHeight="1">
      <c r="A1308" s="4">
        <v>618.0</v>
      </c>
      <c r="B1308" s="5" t="s">
        <v>1295</v>
      </c>
      <c r="C1308" s="6" t="s">
        <v>1346</v>
      </c>
      <c r="D1308" s="4" t="s">
        <v>22</v>
      </c>
      <c r="E1308" s="7">
        <v>41446.56</v>
      </c>
    </row>
    <row r="1309" ht="15.0" customHeight="1">
      <c r="A1309" s="8">
        <v>850.0</v>
      </c>
      <c r="B1309" s="9" t="s">
        <v>1295</v>
      </c>
      <c r="C1309" s="10" t="s">
        <v>1347</v>
      </c>
      <c r="D1309" s="8" t="s">
        <v>22</v>
      </c>
      <c r="E1309" s="11">
        <v>44807.07</v>
      </c>
    </row>
    <row r="1310" ht="15.0" customHeight="1">
      <c r="A1310" s="4">
        <v>730.0</v>
      </c>
      <c r="B1310" s="5" t="s">
        <v>1295</v>
      </c>
      <c r="C1310" s="6" t="s">
        <v>1348</v>
      </c>
      <c r="D1310" s="4" t="s">
        <v>22</v>
      </c>
      <c r="E1310" s="7">
        <v>52648.29</v>
      </c>
    </row>
    <row r="1311" ht="15.0" customHeight="1">
      <c r="A1311" s="8">
        <v>851.0</v>
      </c>
      <c r="B1311" s="9" t="s">
        <v>1295</v>
      </c>
      <c r="C1311" s="10" t="s">
        <v>1349</v>
      </c>
      <c r="D1311" s="8" t="s">
        <v>22</v>
      </c>
      <c r="E1311" s="11">
        <v>56008.85</v>
      </c>
    </row>
    <row r="1312" ht="15.0" customHeight="1">
      <c r="A1312" s="4">
        <v>731.0</v>
      </c>
      <c r="B1312" s="5" t="s">
        <v>1295</v>
      </c>
      <c r="C1312" s="6" t="s">
        <v>1350</v>
      </c>
      <c r="D1312" s="4" t="s">
        <v>22</v>
      </c>
      <c r="E1312" s="7">
        <v>61609.7</v>
      </c>
    </row>
    <row r="1313" ht="15.0" customHeight="1">
      <c r="A1313" s="8">
        <v>852.0</v>
      </c>
      <c r="B1313" s="9" t="s">
        <v>1295</v>
      </c>
      <c r="C1313" s="10" t="s">
        <v>1351</v>
      </c>
      <c r="D1313" s="8" t="s">
        <v>22</v>
      </c>
      <c r="E1313" s="11">
        <v>71691.3</v>
      </c>
    </row>
    <row r="1314" ht="15.0" customHeight="1">
      <c r="A1314" s="4">
        <v>1095.0</v>
      </c>
      <c r="B1314" s="5" t="s">
        <v>1295</v>
      </c>
      <c r="C1314" s="6" t="s">
        <v>1352</v>
      </c>
      <c r="D1314" s="4" t="s">
        <v>22</v>
      </c>
      <c r="E1314" s="7">
        <v>107312.92</v>
      </c>
    </row>
    <row r="1315" ht="15.0" customHeight="1">
      <c r="A1315" s="8">
        <v>1513.0</v>
      </c>
      <c r="B1315" s="9" t="s">
        <v>1295</v>
      </c>
      <c r="C1315" s="10" t="s">
        <v>1353</v>
      </c>
      <c r="D1315" s="8" t="s">
        <v>22</v>
      </c>
      <c r="E1315" s="11">
        <v>15121.89</v>
      </c>
    </row>
    <row r="1316" ht="15.0" customHeight="1">
      <c r="A1316" s="4">
        <v>454.0</v>
      </c>
      <c r="B1316" s="5" t="s">
        <v>1295</v>
      </c>
      <c r="C1316" s="6" t="s">
        <v>1354</v>
      </c>
      <c r="D1316" s="4" t="s">
        <v>5</v>
      </c>
      <c r="E1316" s="7">
        <v>24167.8</v>
      </c>
    </row>
    <row r="1317" ht="15.0" customHeight="1">
      <c r="A1317" s="8">
        <v>1524.0</v>
      </c>
      <c r="B1317" s="9" t="s">
        <v>1295</v>
      </c>
      <c r="C1317" s="10" t="s">
        <v>1355</v>
      </c>
      <c r="D1317" s="8" t="s">
        <v>22</v>
      </c>
      <c r="E1317" s="11">
        <v>96366.66</v>
      </c>
    </row>
    <row r="1318" ht="15.0" customHeight="1">
      <c r="A1318" s="4">
        <v>624.0</v>
      </c>
      <c r="B1318" s="5" t="s">
        <v>1295</v>
      </c>
      <c r="C1318" s="6" t="s">
        <v>1356</v>
      </c>
      <c r="D1318" s="4" t="s">
        <v>22</v>
      </c>
      <c r="E1318" s="7">
        <v>163132.51</v>
      </c>
    </row>
    <row r="1319" ht="15.0" customHeight="1">
      <c r="A1319" s="8">
        <v>738.0</v>
      </c>
      <c r="B1319" s="9" t="s">
        <v>1295</v>
      </c>
      <c r="C1319" s="10" t="s">
        <v>1357</v>
      </c>
      <c r="D1319" s="8" t="s">
        <v>22</v>
      </c>
      <c r="E1319" s="11">
        <v>178358.18</v>
      </c>
    </row>
    <row r="1320" ht="15.0" customHeight="1">
      <c r="A1320" s="4">
        <v>739.0</v>
      </c>
      <c r="B1320" s="5" t="s">
        <v>1295</v>
      </c>
      <c r="C1320" s="6" t="s">
        <v>1358</v>
      </c>
      <c r="D1320" s="4" t="s">
        <v>22</v>
      </c>
      <c r="E1320" s="7">
        <v>194671.45</v>
      </c>
    </row>
    <row r="1321" ht="15.0" customHeight="1">
      <c r="A1321" s="8">
        <v>625.0</v>
      </c>
      <c r="B1321" s="9" t="s">
        <v>1295</v>
      </c>
      <c r="C1321" s="10" t="s">
        <v>1359</v>
      </c>
      <c r="D1321" s="8" t="s">
        <v>22</v>
      </c>
      <c r="E1321" s="11">
        <v>108754.99</v>
      </c>
    </row>
    <row r="1322" ht="15.0" customHeight="1">
      <c r="A1322" s="4">
        <v>740.0</v>
      </c>
      <c r="B1322" s="5" t="s">
        <v>1295</v>
      </c>
      <c r="C1322" s="6" t="s">
        <v>1360</v>
      </c>
      <c r="D1322" s="4" t="s">
        <v>22</v>
      </c>
      <c r="E1322" s="7">
        <v>121805.59</v>
      </c>
    </row>
    <row r="1323" ht="15.0" customHeight="1">
      <c r="A1323" s="8">
        <v>741.0</v>
      </c>
      <c r="B1323" s="9" t="s">
        <v>1295</v>
      </c>
      <c r="C1323" s="10" t="s">
        <v>1361</v>
      </c>
      <c r="D1323" s="8" t="s">
        <v>22</v>
      </c>
      <c r="E1323" s="11">
        <v>147906.78</v>
      </c>
    </row>
    <row r="1324" ht="15.0" customHeight="1">
      <c r="A1324" s="4">
        <v>431.0</v>
      </c>
      <c r="B1324" s="5" t="s">
        <v>1295</v>
      </c>
      <c r="C1324" s="6" t="s">
        <v>1362</v>
      </c>
      <c r="D1324" s="4" t="s">
        <v>76</v>
      </c>
      <c r="E1324" s="7">
        <v>9062.93</v>
      </c>
    </row>
    <row r="1325" ht="15.0" customHeight="1">
      <c r="A1325" s="8">
        <v>432.0</v>
      </c>
      <c r="B1325" s="9" t="s">
        <v>1295</v>
      </c>
      <c r="C1325" s="10" t="s">
        <v>1363</v>
      </c>
      <c r="D1325" s="8" t="s">
        <v>76</v>
      </c>
      <c r="E1325" s="11">
        <v>13090.9</v>
      </c>
    </row>
    <row r="1326" ht="15.0" customHeight="1">
      <c r="A1326" s="4">
        <v>433.0</v>
      </c>
      <c r="B1326" s="5" t="s">
        <v>1295</v>
      </c>
      <c r="C1326" s="6" t="s">
        <v>1364</v>
      </c>
      <c r="D1326" s="4" t="s">
        <v>76</v>
      </c>
      <c r="E1326" s="7">
        <v>13090.9</v>
      </c>
    </row>
    <row r="1327" ht="15.0" customHeight="1">
      <c r="A1327" s="8">
        <v>1397.0</v>
      </c>
      <c r="B1327" s="9" t="s">
        <v>1365</v>
      </c>
      <c r="C1327" s="10" t="s">
        <v>1366</v>
      </c>
      <c r="D1327" s="8" t="s">
        <v>5</v>
      </c>
      <c r="E1327" s="11">
        <v>149906.26</v>
      </c>
    </row>
    <row r="1328" ht="15.0" customHeight="1">
      <c r="A1328" s="4">
        <v>981.0</v>
      </c>
      <c r="B1328" s="5" t="s">
        <v>1365</v>
      </c>
      <c r="C1328" s="6" t="s">
        <v>1367</v>
      </c>
      <c r="D1328" s="4" t="s">
        <v>5</v>
      </c>
      <c r="E1328" s="7">
        <v>139389.27</v>
      </c>
    </row>
    <row r="1329" ht="15.0" customHeight="1">
      <c r="A1329" s="8">
        <v>978.0</v>
      </c>
      <c r="B1329" s="9" t="s">
        <v>1365</v>
      </c>
      <c r="C1329" s="10" t="s">
        <v>1368</v>
      </c>
      <c r="D1329" s="8" t="s">
        <v>5</v>
      </c>
      <c r="E1329" s="11">
        <v>172186.74</v>
      </c>
    </row>
    <row r="1330" ht="15.0" customHeight="1">
      <c r="A1330" s="4">
        <v>977.0</v>
      </c>
      <c r="B1330" s="5" t="s">
        <v>1365</v>
      </c>
      <c r="C1330" s="6" t="s">
        <v>1369</v>
      </c>
      <c r="D1330" s="4" t="s">
        <v>5</v>
      </c>
      <c r="E1330" s="7">
        <v>222870.72</v>
      </c>
    </row>
    <row r="1331" ht="15.0" customHeight="1">
      <c r="A1331" s="8">
        <v>980.0</v>
      </c>
      <c r="B1331" s="9" t="s">
        <v>1365</v>
      </c>
      <c r="C1331" s="10" t="s">
        <v>1370</v>
      </c>
      <c r="D1331" s="8" t="s">
        <v>5</v>
      </c>
      <c r="E1331" s="11">
        <v>147588.65</v>
      </c>
    </row>
    <row r="1332" ht="15.0" customHeight="1">
      <c r="A1332" s="4">
        <v>979.0</v>
      </c>
      <c r="B1332" s="5" t="s">
        <v>1365</v>
      </c>
      <c r="C1332" s="6" t="s">
        <v>1371</v>
      </c>
      <c r="D1332" s="4" t="s">
        <v>5</v>
      </c>
      <c r="E1332" s="7">
        <v>163987.38</v>
      </c>
    </row>
    <row r="1333" ht="15.0" customHeight="1">
      <c r="A1333" s="8">
        <v>886.0</v>
      </c>
      <c r="B1333" s="9" t="s">
        <v>1365</v>
      </c>
      <c r="C1333" s="10" t="s">
        <v>1372</v>
      </c>
      <c r="D1333" s="8" t="s">
        <v>19</v>
      </c>
      <c r="E1333" s="11">
        <v>4745.01</v>
      </c>
    </row>
    <row r="1334" ht="15.0" customHeight="1">
      <c r="A1334" s="4">
        <v>456.0</v>
      </c>
      <c r="B1334" s="5" t="s">
        <v>1365</v>
      </c>
      <c r="C1334" s="6" t="s">
        <v>1373</v>
      </c>
      <c r="D1334" s="4" t="s">
        <v>5</v>
      </c>
      <c r="E1334" s="7">
        <v>49765.96</v>
      </c>
    </row>
    <row r="1335" ht="15.0" customHeight="1">
      <c r="A1335" s="8">
        <v>455.0</v>
      </c>
      <c r="B1335" s="9" t="s">
        <v>1365</v>
      </c>
      <c r="C1335" s="10" t="s">
        <v>1374</v>
      </c>
      <c r="D1335" s="8" t="s">
        <v>5</v>
      </c>
      <c r="E1335" s="11">
        <v>39858.04</v>
      </c>
    </row>
    <row r="1336" ht="15.0" customHeight="1">
      <c r="A1336" s="4">
        <v>885.0</v>
      </c>
      <c r="B1336" s="5" t="s">
        <v>1365</v>
      </c>
      <c r="C1336" s="6" t="s">
        <v>1375</v>
      </c>
      <c r="D1336" s="4" t="s">
        <v>19</v>
      </c>
      <c r="E1336" s="7">
        <v>2277.61</v>
      </c>
    </row>
    <row r="1337" ht="15.0" customHeight="1">
      <c r="A1337" s="8">
        <v>1727.0</v>
      </c>
      <c r="B1337" s="9" t="s">
        <v>1376</v>
      </c>
      <c r="C1337" s="10" t="s">
        <v>1377</v>
      </c>
      <c r="D1337" s="8" t="s">
        <v>5</v>
      </c>
      <c r="E1337" s="11">
        <v>4731418.12</v>
      </c>
    </row>
    <row r="1338" ht="15.0" customHeight="1">
      <c r="A1338" s="4">
        <v>1019.0</v>
      </c>
      <c r="B1338" s="5" t="s">
        <v>1376</v>
      </c>
      <c r="C1338" s="6" t="s">
        <v>1378</v>
      </c>
      <c r="D1338" s="4" t="s">
        <v>5</v>
      </c>
      <c r="E1338" s="7">
        <v>73461.56</v>
      </c>
    </row>
    <row r="1339" ht="15.0" customHeight="1">
      <c r="A1339" s="8">
        <v>1001.0</v>
      </c>
      <c r="B1339" s="9" t="s">
        <v>1376</v>
      </c>
      <c r="C1339" s="10" t="s">
        <v>1379</v>
      </c>
      <c r="D1339" s="8" t="s">
        <v>5</v>
      </c>
      <c r="E1339" s="11">
        <v>755604.48</v>
      </c>
    </row>
    <row r="1340" ht="15.0" customHeight="1">
      <c r="A1340" s="4">
        <v>1005.0</v>
      </c>
      <c r="B1340" s="5" t="s">
        <v>1376</v>
      </c>
      <c r="C1340" s="6" t="s">
        <v>1380</v>
      </c>
      <c r="D1340" s="4" t="s">
        <v>5</v>
      </c>
      <c r="E1340" s="7">
        <v>115439.56</v>
      </c>
    </row>
    <row r="1341" ht="15.0" customHeight="1">
      <c r="A1341" s="8">
        <v>1712.0</v>
      </c>
      <c r="B1341" s="9" t="s">
        <v>1376</v>
      </c>
      <c r="C1341" s="10" t="s">
        <v>1381</v>
      </c>
      <c r="D1341" s="8" t="s">
        <v>5</v>
      </c>
      <c r="E1341" s="11">
        <v>173709.82</v>
      </c>
    </row>
    <row r="1342" ht="15.0" customHeight="1">
      <c r="A1342" s="4">
        <v>1006.0</v>
      </c>
      <c r="B1342" s="5" t="s">
        <v>1376</v>
      </c>
      <c r="C1342" s="6" t="s">
        <v>1382</v>
      </c>
      <c r="D1342" s="4" t="s">
        <v>5</v>
      </c>
      <c r="E1342" s="7">
        <v>88993.41</v>
      </c>
    </row>
    <row r="1343" ht="15.0" customHeight="1">
      <c r="A1343" s="8">
        <v>1002.0</v>
      </c>
      <c r="B1343" s="9" t="s">
        <v>1376</v>
      </c>
      <c r="C1343" s="10" t="s">
        <v>1383</v>
      </c>
      <c r="D1343" s="8" t="s">
        <v>5</v>
      </c>
      <c r="E1343" s="11">
        <v>314835.2</v>
      </c>
    </row>
    <row r="1344" ht="15.0" customHeight="1">
      <c r="A1344" s="4">
        <v>1713.0</v>
      </c>
      <c r="B1344" s="5" t="s">
        <v>1376</v>
      </c>
      <c r="C1344" s="6" t="s">
        <v>1384</v>
      </c>
      <c r="D1344" s="4" t="s">
        <v>5</v>
      </c>
      <c r="E1344" s="7">
        <v>562977.72</v>
      </c>
    </row>
    <row r="1345" ht="15.0" customHeight="1">
      <c r="A1345" s="8">
        <v>1003.0</v>
      </c>
      <c r="B1345" s="9" t="s">
        <v>1376</v>
      </c>
      <c r="C1345" s="10" t="s">
        <v>1385</v>
      </c>
      <c r="D1345" s="8" t="s">
        <v>5</v>
      </c>
      <c r="E1345" s="11">
        <v>4407.69</v>
      </c>
    </row>
    <row r="1346" ht="15.0" customHeight="1">
      <c r="A1346" s="4">
        <v>1004.0</v>
      </c>
      <c r="B1346" s="5" t="s">
        <v>1376</v>
      </c>
      <c r="C1346" s="6" t="s">
        <v>1386</v>
      </c>
      <c r="D1346" s="4" t="s">
        <v>5</v>
      </c>
      <c r="E1346" s="7">
        <v>6926.34</v>
      </c>
    </row>
    <row r="1347" ht="15.0" customHeight="1">
      <c r="A1347" s="8">
        <v>1726.0</v>
      </c>
      <c r="B1347" s="9" t="s">
        <v>1376</v>
      </c>
      <c r="C1347" s="10" t="s">
        <v>1387</v>
      </c>
      <c r="D1347" s="8" t="s">
        <v>5</v>
      </c>
      <c r="E1347" s="11">
        <v>909415.43</v>
      </c>
    </row>
    <row r="1348" ht="15.0" customHeight="1">
      <c r="A1348" s="4">
        <v>1501.0</v>
      </c>
      <c r="B1348" s="5" t="s">
        <v>1376</v>
      </c>
      <c r="C1348" s="6" t="s">
        <v>1388</v>
      </c>
      <c r="D1348" s="4" t="s">
        <v>5</v>
      </c>
      <c r="E1348" s="7">
        <v>127384.28</v>
      </c>
    </row>
    <row r="1349" ht="15.0" customHeight="1">
      <c r="A1349" s="8">
        <v>1016.0</v>
      </c>
      <c r="B1349" s="9" t="s">
        <v>1376</v>
      </c>
      <c r="C1349" s="10" t="s">
        <v>1389</v>
      </c>
      <c r="D1349" s="8" t="s">
        <v>5</v>
      </c>
      <c r="E1349" s="11">
        <v>251868.17</v>
      </c>
    </row>
    <row r="1350" ht="15.0" customHeight="1">
      <c r="A1350" s="4">
        <v>1015.0</v>
      </c>
      <c r="B1350" s="5" t="s">
        <v>1376</v>
      </c>
      <c r="C1350" s="6" t="s">
        <v>1390</v>
      </c>
      <c r="D1350" s="4" t="s">
        <v>5</v>
      </c>
      <c r="E1350" s="7">
        <v>413483.53</v>
      </c>
    </row>
    <row r="1351" ht="15.0" customHeight="1">
      <c r="A1351" s="8">
        <v>1017.0</v>
      </c>
      <c r="B1351" s="9" t="s">
        <v>1376</v>
      </c>
      <c r="C1351" s="10" t="s">
        <v>1391</v>
      </c>
      <c r="D1351" s="8" t="s">
        <v>5</v>
      </c>
      <c r="E1351" s="11">
        <v>650659.37</v>
      </c>
    </row>
    <row r="1352" ht="15.0" customHeight="1">
      <c r="A1352" s="4">
        <v>593.0</v>
      </c>
      <c r="B1352" s="5" t="s">
        <v>1376</v>
      </c>
      <c r="C1352" s="6" t="s">
        <v>1392</v>
      </c>
      <c r="D1352" s="4" t="s">
        <v>5</v>
      </c>
      <c r="E1352" s="7">
        <v>76609.94</v>
      </c>
    </row>
    <row r="1353" ht="15.0" customHeight="1">
      <c r="A1353" s="8">
        <v>1018.0</v>
      </c>
      <c r="B1353" s="9" t="s">
        <v>1376</v>
      </c>
      <c r="C1353" s="10" t="s">
        <v>1393</v>
      </c>
      <c r="D1353" s="8" t="s">
        <v>5</v>
      </c>
      <c r="E1353" s="11">
        <v>575099.0</v>
      </c>
    </row>
    <row r="1354" ht="15.0" customHeight="1">
      <c r="A1354" s="4">
        <v>20.0</v>
      </c>
      <c r="B1354" s="5" t="s">
        <v>1394</v>
      </c>
      <c r="C1354" s="6" t="s">
        <v>1395</v>
      </c>
      <c r="D1354" s="4" t="s">
        <v>65</v>
      </c>
      <c r="E1354" s="7">
        <v>35179.26</v>
      </c>
    </row>
    <row r="1355" ht="15.0" customHeight="1">
      <c r="A1355" s="8">
        <v>21.0</v>
      </c>
      <c r="B1355" s="9" t="s">
        <v>1394</v>
      </c>
      <c r="C1355" s="10" t="s">
        <v>1396</v>
      </c>
      <c r="D1355" s="8" t="s">
        <v>65</v>
      </c>
      <c r="E1355" s="11">
        <v>44727.94</v>
      </c>
    </row>
    <row r="1356" ht="15.0" customHeight="1">
      <c r="A1356" s="4">
        <v>19.0</v>
      </c>
      <c r="B1356" s="5" t="s">
        <v>1394</v>
      </c>
      <c r="C1356" s="6" t="s">
        <v>1397</v>
      </c>
      <c r="D1356" s="4" t="s">
        <v>65</v>
      </c>
      <c r="E1356" s="7">
        <v>30488.7</v>
      </c>
    </row>
    <row r="1357" ht="15.0" customHeight="1">
      <c r="A1357" s="8">
        <v>18.0</v>
      </c>
      <c r="B1357" s="9" t="s">
        <v>1394</v>
      </c>
      <c r="C1357" s="10" t="s">
        <v>1398</v>
      </c>
      <c r="D1357" s="8" t="s">
        <v>65</v>
      </c>
      <c r="E1357" s="11">
        <v>62652.62</v>
      </c>
    </row>
    <row r="1358" ht="15.0" customHeight="1">
      <c r="A1358" s="4">
        <v>855.0</v>
      </c>
      <c r="B1358" s="5" t="s">
        <v>1394</v>
      </c>
      <c r="C1358" s="6" t="s">
        <v>1399</v>
      </c>
      <c r="D1358" s="4" t="s">
        <v>65</v>
      </c>
      <c r="E1358" s="7">
        <v>28193.69</v>
      </c>
    </row>
    <row r="1359" ht="15.0" customHeight="1">
      <c r="A1359" s="8">
        <v>991.0</v>
      </c>
      <c r="B1359" s="9" t="s">
        <v>1400</v>
      </c>
      <c r="C1359" s="10" t="s">
        <v>1401</v>
      </c>
      <c r="D1359" s="8" t="s">
        <v>5</v>
      </c>
      <c r="E1359" s="11">
        <v>35240.15</v>
      </c>
    </row>
    <row r="1360" ht="15.0" customHeight="1">
      <c r="A1360" s="4">
        <v>990.0</v>
      </c>
      <c r="B1360" s="5" t="s">
        <v>1400</v>
      </c>
      <c r="C1360" s="6" t="s">
        <v>1402</v>
      </c>
      <c r="D1360" s="4" t="s">
        <v>5</v>
      </c>
      <c r="E1360" s="7">
        <v>28546.49</v>
      </c>
    </row>
    <row r="1361" ht="15.0" customHeight="1">
      <c r="A1361" s="8">
        <v>989.0</v>
      </c>
      <c r="B1361" s="9" t="s">
        <v>1400</v>
      </c>
      <c r="C1361" s="10" t="s">
        <v>1403</v>
      </c>
      <c r="D1361" s="8" t="s">
        <v>5</v>
      </c>
      <c r="E1361" s="11">
        <v>25199.66</v>
      </c>
    </row>
    <row r="1362" ht="15.0" customHeight="1">
      <c r="A1362" s="4">
        <v>285.0</v>
      </c>
      <c r="B1362" s="5" t="s">
        <v>1400</v>
      </c>
      <c r="C1362" s="6" t="s">
        <v>1404</v>
      </c>
      <c r="D1362" s="4" t="s">
        <v>5</v>
      </c>
      <c r="E1362" s="7">
        <v>38586.98</v>
      </c>
    </row>
    <row r="1363" ht="15.0" customHeight="1">
      <c r="A1363" s="8">
        <v>1666.0</v>
      </c>
      <c r="B1363" s="9" t="s">
        <v>1400</v>
      </c>
      <c r="C1363" s="10" t="s">
        <v>1405</v>
      </c>
      <c r="D1363" s="8" t="s">
        <v>5</v>
      </c>
      <c r="E1363" s="11">
        <v>0.0</v>
      </c>
    </row>
    <row r="1364" ht="15.0" customHeight="1">
      <c r="A1364" s="4">
        <v>1738.0</v>
      </c>
      <c r="B1364" s="5" t="s">
        <v>1406</v>
      </c>
      <c r="C1364" s="6" t="s">
        <v>1407</v>
      </c>
      <c r="D1364" s="4" t="s">
        <v>76</v>
      </c>
      <c r="E1364" s="7">
        <v>9019.4</v>
      </c>
    </row>
    <row r="1365" ht="15.0" customHeight="1">
      <c r="A1365" s="8">
        <v>219.0</v>
      </c>
      <c r="B1365" s="9" t="s">
        <v>1406</v>
      </c>
      <c r="C1365" s="10" t="s">
        <v>1408</v>
      </c>
      <c r="D1365" s="8" t="s">
        <v>76</v>
      </c>
      <c r="E1365" s="11">
        <v>6897.19</v>
      </c>
    </row>
    <row r="1366" ht="15.0" customHeight="1">
      <c r="A1366" s="4">
        <v>213.0</v>
      </c>
      <c r="B1366" s="5" t="s">
        <v>1406</v>
      </c>
      <c r="C1366" s="6" t="s">
        <v>1409</v>
      </c>
      <c r="D1366" s="4" t="s">
        <v>5</v>
      </c>
      <c r="E1366" s="7">
        <v>55459.72</v>
      </c>
    </row>
    <row r="1367" ht="15.0" customHeight="1">
      <c r="A1367" s="8">
        <v>1455.0</v>
      </c>
      <c r="B1367" s="9" t="s">
        <v>1406</v>
      </c>
      <c r="C1367" s="10" t="s">
        <v>1410</v>
      </c>
      <c r="D1367" s="8" t="s">
        <v>5</v>
      </c>
      <c r="E1367" s="11">
        <v>8630.52</v>
      </c>
    </row>
    <row r="1368" ht="15.0" customHeight="1">
      <c r="A1368" s="4">
        <v>1454.0</v>
      </c>
      <c r="B1368" s="5" t="s">
        <v>1406</v>
      </c>
      <c r="C1368" s="6" t="s">
        <v>1411</v>
      </c>
      <c r="D1368" s="4" t="s">
        <v>5</v>
      </c>
      <c r="E1368" s="7">
        <v>107402.02</v>
      </c>
    </row>
    <row r="1369" ht="15.0" customHeight="1">
      <c r="A1369" s="8">
        <v>1740.0</v>
      </c>
      <c r="B1369" s="9" t="s">
        <v>1406</v>
      </c>
      <c r="C1369" s="10" t="s">
        <v>1412</v>
      </c>
      <c r="D1369" s="8" t="s">
        <v>76</v>
      </c>
      <c r="E1369" s="11">
        <v>25466.54</v>
      </c>
    </row>
    <row r="1370" ht="15.0" customHeight="1">
      <c r="A1370" s="4">
        <v>211.0</v>
      </c>
      <c r="B1370" s="5" t="s">
        <v>1406</v>
      </c>
      <c r="C1370" s="6" t="s">
        <v>1413</v>
      </c>
      <c r="D1370" s="4" t="s">
        <v>76</v>
      </c>
      <c r="E1370" s="7">
        <v>21222.12</v>
      </c>
    </row>
    <row r="1371" ht="15.0" customHeight="1">
      <c r="A1371" s="8">
        <v>209.0</v>
      </c>
      <c r="B1371" s="9" t="s">
        <v>1406</v>
      </c>
      <c r="C1371" s="10" t="s">
        <v>1414</v>
      </c>
      <c r="D1371" s="8" t="s">
        <v>76</v>
      </c>
      <c r="E1371" s="11">
        <v>30900.0</v>
      </c>
    </row>
    <row r="1372" ht="15.0" customHeight="1">
      <c r="A1372" s="4">
        <v>1768.0</v>
      </c>
      <c r="B1372" s="5" t="s">
        <v>1406</v>
      </c>
      <c r="C1372" s="6" t="s">
        <v>1415</v>
      </c>
      <c r="D1372" s="4" t="s">
        <v>76</v>
      </c>
      <c r="E1372" s="7">
        <v>20600.0</v>
      </c>
    </row>
    <row r="1373" ht="15.0" customHeight="1">
      <c r="A1373" s="8">
        <v>214.0</v>
      </c>
      <c r="B1373" s="9" t="s">
        <v>1406</v>
      </c>
      <c r="C1373" s="10" t="s">
        <v>1416</v>
      </c>
      <c r="D1373" s="8" t="s">
        <v>76</v>
      </c>
      <c r="E1373" s="11">
        <v>14994.68</v>
      </c>
    </row>
    <row r="1374" ht="15.0" customHeight="1">
      <c r="A1374" s="4">
        <v>550.0</v>
      </c>
      <c r="B1374" s="5" t="s">
        <v>1406</v>
      </c>
      <c r="C1374" s="6" t="s">
        <v>1417</v>
      </c>
      <c r="D1374" s="4" t="s">
        <v>5</v>
      </c>
      <c r="E1374" s="7">
        <v>10612.45</v>
      </c>
    </row>
    <row r="1375" ht="15.0" customHeight="1">
      <c r="A1375" s="8">
        <v>552.0</v>
      </c>
      <c r="B1375" s="9" t="s">
        <v>1406</v>
      </c>
      <c r="C1375" s="10" t="s">
        <v>1418</v>
      </c>
      <c r="D1375" s="8" t="s">
        <v>5</v>
      </c>
      <c r="E1375" s="11">
        <v>12041.05</v>
      </c>
    </row>
    <row r="1376" ht="15.0" customHeight="1">
      <c r="A1376" s="4">
        <v>217.0</v>
      </c>
      <c r="B1376" s="5" t="s">
        <v>1406</v>
      </c>
      <c r="C1376" s="6" t="s">
        <v>1419</v>
      </c>
      <c r="D1376" s="4" t="s">
        <v>76</v>
      </c>
      <c r="E1376" s="7">
        <v>13763.17</v>
      </c>
    </row>
    <row r="1377" ht="15.0" customHeight="1">
      <c r="A1377" s="8">
        <v>215.0</v>
      </c>
      <c r="B1377" s="9" t="s">
        <v>1406</v>
      </c>
      <c r="C1377" s="10" t="s">
        <v>1420</v>
      </c>
      <c r="D1377" s="8" t="s">
        <v>5</v>
      </c>
      <c r="E1377" s="11">
        <v>50119.16</v>
      </c>
    </row>
    <row r="1378" ht="15.0" customHeight="1">
      <c r="A1378" s="4">
        <v>1737.0</v>
      </c>
      <c r="B1378" s="5" t="s">
        <v>1406</v>
      </c>
      <c r="C1378" s="6" t="s">
        <v>1421</v>
      </c>
      <c r="D1378" s="4" t="s">
        <v>76</v>
      </c>
      <c r="E1378" s="7">
        <v>11141.61</v>
      </c>
    </row>
    <row r="1379" ht="15.0" customHeight="1">
      <c r="A1379" s="8">
        <v>1453.0</v>
      </c>
      <c r="B1379" s="9" t="s">
        <v>1406</v>
      </c>
      <c r="C1379" s="10" t="s">
        <v>1422</v>
      </c>
      <c r="D1379" s="8" t="s">
        <v>5</v>
      </c>
      <c r="E1379" s="11">
        <v>16685.64</v>
      </c>
    </row>
    <row r="1380" ht="15.0" customHeight="1">
      <c r="A1380" s="4">
        <v>222.0</v>
      </c>
      <c r="B1380" s="5" t="s">
        <v>1406</v>
      </c>
      <c r="C1380" s="6" t="s">
        <v>1423</v>
      </c>
      <c r="D1380" s="4" t="s">
        <v>76</v>
      </c>
      <c r="E1380" s="7">
        <v>23450.44</v>
      </c>
    </row>
    <row r="1381" ht="15.0" customHeight="1">
      <c r="A1381" s="8">
        <v>220.0</v>
      </c>
      <c r="B1381" s="9" t="s">
        <v>1406</v>
      </c>
      <c r="C1381" s="10" t="s">
        <v>1424</v>
      </c>
      <c r="D1381" s="8" t="s">
        <v>76</v>
      </c>
      <c r="E1381" s="11">
        <v>14324.93</v>
      </c>
    </row>
    <row r="1382" ht="15.0" customHeight="1">
      <c r="A1382" s="4">
        <v>553.0</v>
      </c>
      <c r="B1382" s="5" t="s">
        <v>1406</v>
      </c>
      <c r="C1382" s="6" t="s">
        <v>1425</v>
      </c>
      <c r="D1382" s="4" t="s">
        <v>5</v>
      </c>
      <c r="E1382" s="7">
        <v>5510.28</v>
      </c>
    </row>
    <row r="1383" ht="15.0" customHeight="1">
      <c r="A1383" s="8">
        <v>554.0</v>
      </c>
      <c r="B1383" s="9" t="s">
        <v>1406</v>
      </c>
      <c r="C1383" s="10" t="s">
        <v>1426</v>
      </c>
      <c r="D1383" s="8" t="s">
        <v>5</v>
      </c>
      <c r="E1383" s="11">
        <v>7347.13</v>
      </c>
    </row>
    <row r="1384" ht="15.0" customHeight="1">
      <c r="A1384" s="4">
        <v>1739.0</v>
      </c>
      <c r="B1384" s="5" t="s">
        <v>1406</v>
      </c>
      <c r="C1384" s="6" t="s">
        <v>1427</v>
      </c>
      <c r="D1384" s="4" t="s">
        <v>5</v>
      </c>
      <c r="E1384" s="7">
        <v>40322.03</v>
      </c>
    </row>
    <row r="1385" ht="15.0" customHeight="1">
      <c r="A1385" s="8">
        <v>555.0</v>
      </c>
      <c r="B1385" s="9" t="s">
        <v>1406</v>
      </c>
      <c r="C1385" s="10" t="s">
        <v>1428</v>
      </c>
      <c r="D1385" s="8" t="s">
        <v>5</v>
      </c>
      <c r="E1385" s="11">
        <v>11637.17</v>
      </c>
    </row>
    <row r="1386" ht="15.0" customHeight="1">
      <c r="A1386" s="4">
        <v>556.0</v>
      </c>
      <c r="B1386" s="5" t="s">
        <v>1406</v>
      </c>
      <c r="C1386" s="6" t="s">
        <v>1429</v>
      </c>
      <c r="D1386" s="4" t="s">
        <v>5</v>
      </c>
      <c r="E1386" s="7">
        <v>13575.25</v>
      </c>
    </row>
    <row r="1387" ht="15.0" customHeight="1">
      <c r="A1387" s="12">
        <v>1448.0</v>
      </c>
      <c r="B1387" s="13" t="s">
        <v>1406</v>
      </c>
      <c r="C1387" s="14" t="s">
        <v>1430</v>
      </c>
      <c r="D1387" s="12" t="s">
        <v>5</v>
      </c>
      <c r="E1387" s="11">
        <v>32299.56</v>
      </c>
    </row>
    <row r="1388" ht="15.75" customHeight="1">
      <c r="A1388" s="12">
        <v>9999.0</v>
      </c>
      <c r="B1388" s="5" t="s">
        <v>1431</v>
      </c>
      <c r="C1388" s="6" t="s">
        <v>1432</v>
      </c>
      <c r="D1388" s="4" t="s">
        <v>5</v>
      </c>
      <c r="E1388" s="7">
        <v>4000.0</v>
      </c>
    </row>
    <row r="1389" ht="15.75" customHeight="1">
      <c r="A1389" s="12">
        <v>9999.0</v>
      </c>
      <c r="B1389" s="13" t="s">
        <v>170</v>
      </c>
      <c r="C1389" s="14" t="s">
        <v>1433</v>
      </c>
      <c r="D1389" s="12" t="s">
        <v>1434</v>
      </c>
      <c r="E1389" s="11">
        <v>27000.0</v>
      </c>
    </row>
    <row r="1390" ht="15.75" customHeight="1">
      <c r="A1390" s="12">
        <v>9999.0</v>
      </c>
      <c r="B1390" s="5" t="s">
        <v>7</v>
      </c>
      <c r="C1390" s="6" t="s">
        <v>1435</v>
      </c>
      <c r="D1390" s="4" t="s">
        <v>22</v>
      </c>
      <c r="E1390" s="7">
        <v>800.0</v>
      </c>
    </row>
    <row r="1391" ht="15.75" customHeight="1">
      <c r="A1391" s="12">
        <v>9999.0</v>
      </c>
      <c r="B1391" s="13" t="s">
        <v>1431</v>
      </c>
      <c r="C1391" s="14" t="s">
        <v>1436</v>
      </c>
      <c r="D1391" s="12" t="s">
        <v>5</v>
      </c>
      <c r="E1391" s="11">
        <v>3500.0</v>
      </c>
    </row>
    <row r="1392" ht="15.75" customHeight="1">
      <c r="A1392" s="12">
        <v>9999.0</v>
      </c>
      <c r="B1392" s="5" t="s">
        <v>1431</v>
      </c>
      <c r="C1392" s="6" t="s">
        <v>1437</v>
      </c>
      <c r="D1392" s="4" t="s">
        <v>5</v>
      </c>
      <c r="E1392" s="7">
        <v>10500.0</v>
      </c>
    </row>
    <row r="1393" ht="15.75" customHeight="1">
      <c r="A1393" s="12">
        <v>9999.0</v>
      </c>
      <c r="B1393" s="13" t="s">
        <v>1431</v>
      </c>
      <c r="C1393" s="14" t="s">
        <v>1438</v>
      </c>
      <c r="D1393" s="12" t="s">
        <v>22</v>
      </c>
      <c r="E1393" s="11">
        <f>13000/25</f>
        <v>520</v>
      </c>
    </row>
    <row r="1394" ht="15.75" customHeight="1">
      <c r="A1394" s="12">
        <v>9999.0</v>
      </c>
      <c r="B1394" s="5" t="s">
        <v>7</v>
      </c>
      <c r="C1394" s="6" t="s">
        <v>1439</v>
      </c>
      <c r="D1394" s="4" t="s">
        <v>22</v>
      </c>
      <c r="E1394" s="7">
        <v>8000.0</v>
      </c>
    </row>
    <row r="1395" ht="15.75" customHeight="1">
      <c r="A1395" s="12">
        <v>9999.0</v>
      </c>
      <c r="B1395" s="13" t="s">
        <v>1431</v>
      </c>
      <c r="C1395" s="14" t="s">
        <v>1440</v>
      </c>
      <c r="D1395" s="12" t="s">
        <v>5</v>
      </c>
      <c r="E1395" s="11">
        <v>4500.0</v>
      </c>
    </row>
    <row r="1396" ht="15.75" customHeight="1">
      <c r="A1396" s="12">
        <v>9999.0</v>
      </c>
      <c r="B1396" s="5" t="s">
        <v>1431</v>
      </c>
      <c r="C1396" s="6" t="s">
        <v>1441</v>
      </c>
      <c r="D1396" s="4" t="s">
        <v>5</v>
      </c>
      <c r="E1396" s="7">
        <f>11400/150</f>
        <v>76</v>
      </c>
    </row>
    <row r="1397" ht="15.75" customHeight="1">
      <c r="A1397" s="12">
        <v>9999.0</v>
      </c>
      <c r="B1397" s="13" t="s">
        <v>1431</v>
      </c>
      <c r="C1397" s="14" t="s">
        <v>1442</v>
      </c>
      <c r="D1397" s="12" t="s">
        <v>5</v>
      </c>
      <c r="E1397" s="11">
        <v>12300.0</v>
      </c>
    </row>
    <row r="1398" ht="15.75" customHeight="1">
      <c r="A1398" s="12">
        <v>9999.0</v>
      </c>
      <c r="B1398" s="5" t="s">
        <v>1431</v>
      </c>
      <c r="C1398" s="6" t="s">
        <v>1443</v>
      </c>
      <c r="D1398" s="4" t="s">
        <v>5</v>
      </c>
      <c r="E1398" s="7">
        <v>24000.0</v>
      </c>
    </row>
    <row r="1399" ht="15.75" customHeight="1">
      <c r="A1399" s="12">
        <v>9999.0</v>
      </c>
      <c r="B1399" s="13" t="s">
        <v>399</v>
      </c>
      <c r="C1399" s="14" t="s">
        <v>1444</v>
      </c>
      <c r="D1399" s="12" t="s">
        <v>5</v>
      </c>
      <c r="E1399" s="11">
        <f>5800/25</f>
        <v>232</v>
      </c>
    </row>
    <row r="1400" ht="15.75" customHeight="1">
      <c r="A1400" s="12">
        <v>9999.0</v>
      </c>
      <c r="B1400" s="5" t="s">
        <v>399</v>
      </c>
      <c r="C1400" s="6" t="s">
        <v>1445</v>
      </c>
      <c r="D1400" s="4" t="s">
        <v>22</v>
      </c>
      <c r="E1400" s="7">
        <f>170000/30</f>
        <v>5666.666667</v>
      </c>
    </row>
    <row r="1401" ht="15.75" customHeight="1">
      <c r="A1401" s="12">
        <v>9999.0</v>
      </c>
      <c r="B1401" s="13" t="s">
        <v>1431</v>
      </c>
      <c r="C1401" s="14" t="s">
        <v>1446</v>
      </c>
      <c r="D1401" s="12" t="s">
        <v>5</v>
      </c>
      <c r="E1401" s="11">
        <v>5000.0</v>
      </c>
    </row>
    <row r="1402" ht="15.75" customHeight="1">
      <c r="A1402" s="12">
        <v>9999.0</v>
      </c>
      <c r="B1402" s="5" t="s">
        <v>1431</v>
      </c>
      <c r="C1402" s="6" t="s">
        <v>1447</v>
      </c>
      <c r="D1402" s="4" t="s">
        <v>5</v>
      </c>
      <c r="E1402" s="7">
        <v>1200.0</v>
      </c>
    </row>
    <row r="1403" ht="15.75" customHeight="1">
      <c r="A1403" s="15"/>
      <c r="B1403" s="15"/>
      <c r="C1403" s="15"/>
      <c r="D1403" s="15"/>
    </row>
    <row r="1404" ht="15.75" customHeight="1">
      <c r="A1404" s="15"/>
      <c r="B1404" s="16"/>
      <c r="C1404" s="15"/>
      <c r="D1404" s="15"/>
    </row>
    <row r="1405" ht="15.75" customHeight="1">
      <c r="A1405" s="15"/>
      <c r="B1405" s="16"/>
      <c r="C1405" s="15"/>
      <c r="D1405" s="15"/>
    </row>
    <row r="1406" ht="15.75" customHeight="1">
      <c r="A1406" s="15"/>
      <c r="B1406" s="15"/>
      <c r="C1406" s="15"/>
      <c r="D1406" s="15"/>
    </row>
    <row r="1407" ht="15.75" customHeight="1">
      <c r="A1407" s="15"/>
      <c r="B1407" s="15"/>
      <c r="C1407" s="15"/>
      <c r="D1407" s="15"/>
    </row>
    <row r="1408" ht="15.75" customHeight="1">
      <c r="A1408" s="15"/>
      <c r="B1408" s="15"/>
      <c r="C1408" s="15"/>
      <c r="D1408" s="15"/>
    </row>
    <row r="1409" ht="15.75" customHeight="1">
      <c r="A1409" s="15"/>
      <c r="B1409" s="15"/>
      <c r="C1409" s="15"/>
      <c r="D1409" s="15"/>
    </row>
    <row r="1410" ht="15.75" customHeight="1">
      <c r="A1410" s="15"/>
      <c r="B1410" s="15"/>
      <c r="C1410" s="15"/>
      <c r="D1410" s="15"/>
    </row>
    <row r="1411" ht="15.75" customHeight="1">
      <c r="A1411" s="15"/>
      <c r="B1411" s="15"/>
      <c r="C1411" s="15"/>
      <c r="D1411" s="15"/>
    </row>
    <row r="1412" ht="15.75" customHeight="1">
      <c r="A1412" s="15"/>
      <c r="B1412" s="15"/>
      <c r="C1412" s="15"/>
      <c r="D1412" s="15"/>
    </row>
    <row r="1413" ht="15.75" customHeight="1">
      <c r="A1413" s="15"/>
      <c r="B1413" s="15"/>
      <c r="C1413" s="15"/>
      <c r="D1413" s="15"/>
    </row>
    <row r="1414" ht="15.75" customHeight="1">
      <c r="A1414" s="15"/>
      <c r="B1414" s="15"/>
      <c r="C1414" s="15"/>
      <c r="D1414" s="15"/>
    </row>
    <row r="1415" ht="15.75" customHeight="1">
      <c r="A1415" s="15"/>
      <c r="B1415" s="15"/>
      <c r="C1415" s="15"/>
      <c r="D1415" s="15"/>
    </row>
    <row r="1416" ht="15.75" customHeight="1">
      <c r="A1416" s="15"/>
      <c r="B1416" s="15"/>
      <c r="C1416" s="15"/>
      <c r="D1416" s="15"/>
    </row>
    <row r="1417" ht="15.75" customHeight="1">
      <c r="A1417" s="15"/>
      <c r="B1417" s="15"/>
      <c r="C1417" s="15"/>
      <c r="D1417" s="15"/>
    </row>
    <row r="1418" ht="15.75" customHeight="1">
      <c r="A1418" s="15"/>
      <c r="B1418" s="15"/>
      <c r="C1418" s="15"/>
      <c r="D1418" s="15"/>
    </row>
    <row r="1419" ht="15.75" customHeight="1">
      <c r="A1419" s="15"/>
      <c r="B1419" s="15"/>
      <c r="C1419" s="15"/>
      <c r="D1419" s="15"/>
    </row>
    <row r="1420" ht="15.75" customHeight="1">
      <c r="A1420" s="15"/>
      <c r="B1420" s="15"/>
      <c r="C1420" s="15"/>
      <c r="D1420" s="15"/>
    </row>
    <row r="1421" ht="15.75" customHeight="1">
      <c r="A1421" s="15"/>
      <c r="B1421" s="15"/>
      <c r="C1421" s="15"/>
      <c r="D1421" s="15"/>
    </row>
    <row r="1422" ht="15.75" customHeight="1">
      <c r="A1422" s="15"/>
      <c r="B1422" s="15"/>
      <c r="C1422" s="15"/>
      <c r="D1422" s="15"/>
    </row>
    <row r="1423" ht="15.75" customHeight="1">
      <c r="A1423" s="15"/>
      <c r="B1423" s="15"/>
      <c r="C1423" s="15"/>
      <c r="D1423" s="15"/>
    </row>
    <row r="1424" ht="15.75" customHeight="1">
      <c r="A1424" s="15"/>
      <c r="B1424" s="15"/>
      <c r="C1424" s="15"/>
      <c r="D1424" s="15"/>
    </row>
    <row r="1425" ht="15.75" customHeight="1">
      <c r="A1425" s="15"/>
      <c r="B1425" s="15"/>
      <c r="C1425" s="15"/>
      <c r="D1425" s="15"/>
    </row>
    <row r="1426" ht="15.75" customHeight="1">
      <c r="A1426" s="15"/>
      <c r="B1426" s="15"/>
      <c r="C1426" s="15"/>
      <c r="D1426" s="15"/>
    </row>
    <row r="1427" ht="15.75" customHeight="1">
      <c r="A1427" s="15"/>
      <c r="B1427" s="15"/>
      <c r="C1427" s="15"/>
      <c r="D1427" s="15"/>
    </row>
    <row r="1428" ht="15.75" customHeight="1">
      <c r="A1428" s="15"/>
      <c r="B1428" s="15"/>
      <c r="C1428" s="15"/>
      <c r="D1428" s="15"/>
    </row>
    <row r="1429" ht="15.75" customHeight="1">
      <c r="A1429" s="15"/>
      <c r="B1429" s="15"/>
      <c r="C1429" s="15"/>
      <c r="D1429" s="15"/>
    </row>
    <row r="1430" ht="15.75" customHeight="1">
      <c r="A1430" s="15"/>
      <c r="B1430" s="15"/>
      <c r="C1430" s="15"/>
      <c r="D1430" s="15"/>
    </row>
    <row r="1431" ht="15.75" customHeight="1">
      <c r="A1431" s="15"/>
      <c r="B1431" s="15"/>
      <c r="C1431" s="15"/>
      <c r="D1431" s="15"/>
    </row>
    <row r="1432" ht="15.75" customHeight="1">
      <c r="A1432" s="15"/>
      <c r="B1432" s="15"/>
      <c r="C1432" s="15"/>
      <c r="D1432" s="15"/>
    </row>
    <row r="1433" ht="15.75" customHeight="1">
      <c r="A1433" s="15"/>
      <c r="B1433" s="15"/>
      <c r="C1433" s="15"/>
      <c r="D1433" s="15"/>
    </row>
    <row r="1434" ht="15.75" customHeight="1">
      <c r="A1434" s="15"/>
      <c r="B1434" s="15"/>
      <c r="C1434" s="15"/>
      <c r="D1434" s="15"/>
    </row>
    <row r="1435" ht="15.75" customHeight="1">
      <c r="A1435" s="15"/>
      <c r="B1435" s="15"/>
      <c r="C1435" s="15"/>
      <c r="D1435" s="15"/>
    </row>
    <row r="1436" ht="15.75" customHeight="1">
      <c r="A1436" s="15"/>
      <c r="B1436" s="15"/>
      <c r="C1436" s="15"/>
      <c r="D1436" s="15"/>
    </row>
    <row r="1437" ht="15.75" customHeight="1">
      <c r="A1437" s="15"/>
      <c r="B1437" s="15"/>
      <c r="C1437" s="15"/>
      <c r="D1437" s="15"/>
    </row>
    <row r="1438" ht="15.75" customHeight="1">
      <c r="A1438" s="15"/>
      <c r="B1438" s="15"/>
      <c r="C1438" s="15"/>
      <c r="D1438" s="15"/>
    </row>
    <row r="1439" ht="15.75" customHeight="1">
      <c r="A1439" s="15"/>
      <c r="B1439" s="15"/>
      <c r="C1439" s="15"/>
      <c r="D1439" s="15"/>
    </row>
    <row r="1440" ht="15.75" customHeight="1">
      <c r="A1440" s="15"/>
      <c r="B1440" s="15"/>
      <c r="C1440" s="15"/>
      <c r="D1440" s="15"/>
    </row>
    <row r="1441" ht="15.75" customHeight="1">
      <c r="A1441" s="15"/>
      <c r="B1441" s="15"/>
      <c r="C1441" s="15"/>
      <c r="D1441" s="15"/>
    </row>
    <row r="1442" ht="15.75" customHeight="1">
      <c r="A1442" s="15"/>
      <c r="B1442" s="15"/>
      <c r="C1442" s="15"/>
      <c r="D1442" s="15"/>
    </row>
    <row r="1443" ht="15.75" customHeight="1">
      <c r="A1443" s="15"/>
      <c r="B1443" s="15"/>
      <c r="C1443" s="15"/>
      <c r="D1443" s="15"/>
    </row>
    <row r="1444" ht="15.75" customHeight="1">
      <c r="A1444" s="15"/>
      <c r="B1444" s="15"/>
      <c r="C1444" s="15"/>
      <c r="D1444" s="15"/>
    </row>
    <row r="1445" ht="15.75" customHeight="1">
      <c r="A1445" s="15"/>
      <c r="B1445" s="15"/>
      <c r="C1445" s="15"/>
      <c r="D1445" s="15"/>
    </row>
    <row r="1446" ht="15.75" customHeight="1">
      <c r="A1446" s="15"/>
      <c r="B1446" s="15"/>
      <c r="C1446" s="15"/>
      <c r="D1446" s="15"/>
    </row>
    <row r="1447" ht="15.75" customHeight="1">
      <c r="A1447" s="15"/>
      <c r="B1447" s="15"/>
      <c r="C1447" s="15"/>
      <c r="D1447" s="15"/>
    </row>
    <row r="1448" ht="15.75" customHeight="1">
      <c r="A1448" s="15"/>
      <c r="B1448" s="15"/>
      <c r="C1448" s="15"/>
      <c r="D1448" s="15"/>
    </row>
    <row r="1449" ht="15.75" customHeight="1">
      <c r="A1449" s="15"/>
      <c r="B1449" s="15"/>
      <c r="C1449" s="15"/>
      <c r="D1449" s="15"/>
    </row>
    <row r="1450" ht="15.75" customHeight="1">
      <c r="A1450" s="15"/>
      <c r="B1450" s="15"/>
      <c r="C1450" s="15"/>
      <c r="D1450" s="15"/>
    </row>
    <row r="1451" ht="15.75" customHeight="1">
      <c r="A1451" s="15"/>
      <c r="B1451" s="15"/>
      <c r="C1451" s="15"/>
      <c r="D1451" s="15"/>
    </row>
    <row r="1452" ht="15.75" customHeight="1">
      <c r="A1452" s="15"/>
      <c r="B1452" s="15"/>
      <c r="C1452" s="15"/>
      <c r="D1452" s="15"/>
    </row>
    <row r="1453" ht="15.75" customHeight="1">
      <c r="A1453" s="15"/>
      <c r="B1453" s="15"/>
      <c r="C1453" s="15"/>
      <c r="D1453" s="15"/>
    </row>
    <row r="1454" ht="15.75" customHeight="1">
      <c r="A1454" s="15"/>
      <c r="B1454" s="15"/>
      <c r="C1454" s="15"/>
      <c r="D1454" s="15"/>
    </row>
    <row r="1455" ht="15.75" customHeight="1">
      <c r="A1455" s="15"/>
      <c r="B1455" s="15"/>
      <c r="C1455" s="15"/>
      <c r="D1455" s="15"/>
    </row>
    <row r="1456" ht="15.75" customHeight="1">
      <c r="A1456" s="15"/>
      <c r="B1456" s="15"/>
      <c r="C1456" s="15"/>
      <c r="D1456" s="15"/>
    </row>
    <row r="1457" ht="15.75" customHeight="1">
      <c r="A1457" s="15"/>
      <c r="B1457" s="15"/>
      <c r="C1457" s="15"/>
      <c r="D1457" s="15"/>
    </row>
    <row r="1458" ht="15.75" customHeight="1">
      <c r="A1458" s="15"/>
      <c r="B1458" s="15"/>
      <c r="C1458" s="15"/>
      <c r="D1458" s="15"/>
    </row>
    <row r="1459" ht="15.75" customHeight="1">
      <c r="A1459" s="15"/>
      <c r="B1459" s="15"/>
      <c r="C1459" s="15"/>
      <c r="D1459" s="15"/>
    </row>
    <row r="1460" ht="15.75" customHeight="1">
      <c r="A1460" s="15"/>
      <c r="B1460" s="15"/>
      <c r="C1460" s="15"/>
      <c r="D1460" s="15"/>
    </row>
    <row r="1461" ht="15.75" customHeight="1">
      <c r="A1461" s="15"/>
      <c r="B1461" s="15"/>
      <c r="C1461" s="15"/>
      <c r="D1461" s="15"/>
    </row>
    <row r="1462" ht="15.75" customHeight="1">
      <c r="A1462" s="15"/>
      <c r="B1462" s="15"/>
      <c r="C1462" s="15"/>
      <c r="D1462" s="15"/>
    </row>
    <row r="1463" ht="15.75" customHeight="1">
      <c r="A1463" s="15"/>
      <c r="B1463" s="15"/>
      <c r="C1463" s="15"/>
      <c r="D1463" s="15"/>
    </row>
    <row r="1464" ht="15.75" customHeight="1">
      <c r="A1464" s="15"/>
      <c r="B1464" s="15"/>
      <c r="C1464" s="15"/>
      <c r="D1464" s="15"/>
    </row>
    <row r="1465" ht="15.75" customHeight="1">
      <c r="A1465" s="15"/>
      <c r="B1465" s="15"/>
      <c r="C1465" s="15"/>
      <c r="D1465" s="15"/>
    </row>
    <row r="1466" ht="15.75" customHeight="1">
      <c r="A1466" s="15"/>
      <c r="B1466" s="15"/>
      <c r="C1466" s="15"/>
      <c r="D1466" s="15"/>
    </row>
    <row r="1467" ht="15.75" customHeight="1">
      <c r="A1467" s="15"/>
      <c r="B1467" s="15"/>
      <c r="C1467" s="15"/>
      <c r="D1467" s="15"/>
    </row>
    <row r="1468" ht="15.75" customHeight="1">
      <c r="A1468" s="15"/>
      <c r="B1468" s="15"/>
      <c r="C1468" s="15"/>
      <c r="D1468" s="15"/>
    </row>
    <row r="1469" ht="15.75" customHeight="1">
      <c r="A1469" s="15"/>
      <c r="B1469" s="15"/>
      <c r="C1469" s="15"/>
      <c r="D1469" s="15"/>
    </row>
    <row r="1470" ht="15.75" customHeight="1">
      <c r="A1470" s="15"/>
      <c r="B1470" s="15"/>
      <c r="C1470" s="15"/>
      <c r="D1470" s="15"/>
    </row>
    <row r="1471" ht="15.75" customHeight="1">
      <c r="A1471" s="15"/>
      <c r="B1471" s="15"/>
      <c r="C1471" s="15"/>
      <c r="D1471" s="15"/>
    </row>
    <row r="1472" ht="15.75" customHeight="1">
      <c r="A1472" s="15"/>
      <c r="B1472" s="15"/>
      <c r="C1472" s="15"/>
      <c r="D1472" s="15"/>
    </row>
    <row r="1473" ht="15.75" customHeight="1">
      <c r="A1473" s="15"/>
      <c r="B1473" s="15"/>
      <c r="C1473" s="15"/>
      <c r="D1473" s="15"/>
    </row>
    <row r="1474" ht="15.75" customHeight="1">
      <c r="A1474" s="15"/>
      <c r="B1474" s="15"/>
      <c r="C1474" s="15"/>
      <c r="D1474" s="15"/>
    </row>
    <row r="1475" ht="15.75" customHeight="1">
      <c r="A1475" s="15"/>
      <c r="B1475" s="15"/>
      <c r="C1475" s="15"/>
      <c r="D1475" s="15"/>
    </row>
    <row r="1476" ht="15.75" customHeight="1">
      <c r="A1476" s="15"/>
      <c r="B1476" s="15"/>
      <c r="C1476" s="15"/>
      <c r="D1476" s="15"/>
    </row>
    <row r="1477" ht="15.75" customHeight="1">
      <c r="A1477" s="15"/>
      <c r="B1477" s="15"/>
      <c r="C1477" s="15"/>
      <c r="D1477" s="15"/>
    </row>
    <row r="1478" ht="15.75" customHeight="1">
      <c r="A1478" s="15"/>
      <c r="B1478" s="15"/>
      <c r="C1478" s="15"/>
      <c r="D1478" s="15"/>
    </row>
    <row r="1479" ht="15.75" customHeight="1">
      <c r="A1479" s="15"/>
      <c r="B1479" s="15"/>
      <c r="C1479" s="15"/>
      <c r="D1479" s="15"/>
    </row>
    <row r="1480" ht="15.75" customHeight="1">
      <c r="A1480" s="15"/>
      <c r="B1480" s="15"/>
      <c r="C1480" s="15"/>
      <c r="D1480" s="15"/>
    </row>
    <row r="1481" ht="15.75" customHeight="1">
      <c r="A1481" s="15"/>
      <c r="B1481" s="15"/>
      <c r="C1481" s="15"/>
      <c r="D1481" s="15"/>
    </row>
    <row r="1482" ht="15.75" customHeight="1">
      <c r="A1482" s="15"/>
      <c r="B1482" s="15"/>
      <c r="C1482" s="15"/>
      <c r="D1482" s="15"/>
    </row>
    <row r="1483" ht="15.75" customHeight="1">
      <c r="A1483" s="15"/>
      <c r="B1483" s="15"/>
      <c r="C1483" s="15"/>
      <c r="D1483" s="15"/>
    </row>
    <row r="1484" ht="15.75" customHeight="1">
      <c r="A1484" s="15"/>
      <c r="B1484" s="15"/>
      <c r="C1484" s="15"/>
      <c r="D1484" s="15"/>
    </row>
    <row r="1485" ht="15.75" customHeight="1">
      <c r="A1485" s="15"/>
      <c r="B1485" s="15"/>
      <c r="C1485" s="15"/>
      <c r="D1485" s="15"/>
    </row>
    <row r="1486" ht="15.75" customHeight="1">
      <c r="A1486" s="15"/>
      <c r="B1486" s="15"/>
      <c r="C1486" s="15"/>
      <c r="D1486" s="15"/>
    </row>
    <row r="1487" ht="15.75" customHeight="1">
      <c r="A1487" s="15"/>
      <c r="B1487" s="15"/>
      <c r="C1487" s="15"/>
      <c r="D1487" s="15"/>
    </row>
    <row r="1488" ht="15.75" customHeight="1">
      <c r="A1488" s="15"/>
      <c r="B1488" s="15"/>
      <c r="C1488" s="15"/>
      <c r="D1488" s="15"/>
    </row>
    <row r="1489" ht="15.75" customHeight="1">
      <c r="A1489" s="15"/>
      <c r="B1489" s="15"/>
      <c r="C1489" s="15"/>
      <c r="D1489" s="15"/>
    </row>
    <row r="1490" ht="15.75" customHeight="1">
      <c r="A1490" s="15"/>
      <c r="B1490" s="15"/>
      <c r="C1490" s="15"/>
      <c r="D1490" s="15"/>
    </row>
    <row r="1491" ht="15.75" customHeight="1">
      <c r="A1491" s="15"/>
      <c r="B1491" s="15"/>
      <c r="C1491" s="15"/>
      <c r="D1491" s="15"/>
    </row>
    <row r="1492" ht="15.75" customHeight="1">
      <c r="A1492" s="15"/>
      <c r="B1492" s="15"/>
      <c r="C1492" s="15"/>
      <c r="D1492" s="15"/>
    </row>
    <row r="1493" ht="15.75" customHeight="1">
      <c r="A1493" s="15"/>
      <c r="B1493" s="15"/>
      <c r="C1493" s="15"/>
      <c r="D1493" s="15"/>
    </row>
    <row r="1494" ht="15.75" customHeight="1">
      <c r="A1494" s="15"/>
      <c r="B1494" s="15"/>
      <c r="C1494" s="15"/>
      <c r="D1494" s="15"/>
    </row>
    <row r="1495" ht="15.75" customHeight="1">
      <c r="A1495" s="15"/>
      <c r="B1495" s="15"/>
      <c r="C1495" s="15"/>
      <c r="D1495" s="15"/>
    </row>
    <row r="1496" ht="15.75" customHeight="1">
      <c r="A1496" s="15"/>
      <c r="B1496" s="15"/>
      <c r="C1496" s="15"/>
      <c r="D1496" s="15"/>
    </row>
    <row r="1497" ht="15.75" customHeight="1">
      <c r="A1497" s="15"/>
      <c r="B1497" s="15"/>
      <c r="C1497" s="15"/>
      <c r="D1497" s="15"/>
    </row>
    <row r="1498" ht="15.75" customHeight="1">
      <c r="A1498" s="15"/>
      <c r="B1498" s="15"/>
      <c r="C1498" s="15"/>
      <c r="D1498" s="15"/>
    </row>
    <row r="1499" ht="15.75" customHeight="1">
      <c r="A1499" s="15"/>
      <c r="B1499" s="15"/>
      <c r="C1499" s="15"/>
      <c r="D1499" s="15"/>
    </row>
    <row r="1500" ht="15.75" customHeight="1">
      <c r="A1500" s="15"/>
      <c r="B1500" s="15"/>
      <c r="C1500" s="15"/>
      <c r="D1500" s="15"/>
    </row>
    <row r="1501" ht="15.75" customHeight="1">
      <c r="A1501" s="15"/>
      <c r="B1501" s="15"/>
      <c r="C1501" s="15"/>
      <c r="D1501" s="15"/>
    </row>
    <row r="1502" ht="15.75" customHeight="1">
      <c r="A1502" s="15"/>
      <c r="B1502" s="15"/>
      <c r="C1502" s="15"/>
      <c r="D1502" s="15"/>
    </row>
    <row r="1503" ht="15.75" customHeight="1">
      <c r="A1503" s="15"/>
      <c r="B1503" s="15"/>
      <c r="C1503" s="15"/>
      <c r="D1503" s="15"/>
    </row>
    <row r="1504" ht="15.75" customHeight="1">
      <c r="A1504" s="15"/>
      <c r="B1504" s="15"/>
      <c r="C1504" s="15"/>
      <c r="D1504" s="15"/>
    </row>
    <row r="1505" ht="15.75" customHeight="1">
      <c r="A1505" s="15"/>
      <c r="B1505" s="15"/>
      <c r="C1505" s="15"/>
      <c r="D1505" s="15"/>
    </row>
    <row r="1506" ht="15.75" customHeight="1">
      <c r="A1506" s="15"/>
      <c r="B1506" s="15"/>
      <c r="C1506" s="15"/>
      <c r="D1506" s="15"/>
    </row>
    <row r="1507" ht="15.75" customHeight="1">
      <c r="A1507" s="15"/>
      <c r="B1507" s="15"/>
      <c r="C1507" s="15"/>
      <c r="D1507" s="15"/>
    </row>
    <row r="1508" ht="15.75" customHeight="1">
      <c r="A1508" s="15"/>
      <c r="B1508" s="15"/>
      <c r="C1508" s="15"/>
      <c r="D1508" s="15"/>
    </row>
    <row r="1509" ht="15.75" customHeight="1">
      <c r="A1509" s="15"/>
      <c r="B1509" s="15"/>
      <c r="C1509" s="15"/>
      <c r="D1509" s="15"/>
    </row>
    <row r="1510" ht="15.75" customHeight="1">
      <c r="A1510" s="15"/>
      <c r="B1510" s="15"/>
      <c r="C1510" s="15"/>
      <c r="D1510" s="15"/>
    </row>
    <row r="1511" ht="15.75" customHeight="1">
      <c r="A1511" s="15"/>
      <c r="B1511" s="15"/>
      <c r="C1511" s="15"/>
      <c r="D1511" s="15"/>
    </row>
    <row r="1512" ht="15.75" customHeight="1">
      <c r="A1512" s="15"/>
      <c r="B1512" s="15"/>
      <c r="C1512" s="15"/>
      <c r="D1512" s="15"/>
    </row>
    <row r="1513" ht="15.75" customHeight="1">
      <c r="A1513" s="15"/>
      <c r="B1513" s="15"/>
      <c r="C1513" s="15"/>
      <c r="D1513" s="15"/>
    </row>
    <row r="1514" ht="15.75" customHeight="1">
      <c r="A1514" s="15"/>
      <c r="B1514" s="15"/>
      <c r="C1514" s="15"/>
      <c r="D1514" s="15"/>
    </row>
    <row r="1515" ht="15.75" customHeight="1">
      <c r="A1515" s="15"/>
      <c r="B1515" s="15"/>
      <c r="C1515" s="15"/>
      <c r="D1515" s="15"/>
    </row>
    <row r="1516" ht="15.75" customHeight="1">
      <c r="A1516" s="15"/>
      <c r="B1516" s="15"/>
      <c r="C1516" s="15"/>
      <c r="D1516" s="15"/>
    </row>
    <row r="1517" ht="15.75" customHeight="1">
      <c r="A1517" s="15"/>
      <c r="B1517" s="15"/>
      <c r="C1517" s="15"/>
      <c r="D1517" s="15"/>
    </row>
    <row r="1518" ht="15.75" customHeight="1">
      <c r="A1518" s="15"/>
      <c r="B1518" s="15"/>
      <c r="C1518" s="15"/>
      <c r="D1518" s="15"/>
    </row>
    <row r="1519" ht="15.75" customHeight="1">
      <c r="A1519" s="15"/>
      <c r="B1519" s="15"/>
      <c r="C1519" s="15"/>
      <c r="D1519" s="15"/>
    </row>
    <row r="1520" ht="15.75" customHeight="1">
      <c r="A1520" s="15"/>
      <c r="B1520" s="15"/>
      <c r="C1520" s="15"/>
      <c r="D1520" s="15"/>
    </row>
    <row r="1521" ht="15.75" customHeight="1">
      <c r="A1521" s="15"/>
      <c r="B1521" s="15"/>
      <c r="C1521" s="15"/>
      <c r="D1521" s="15"/>
    </row>
    <row r="1522" ht="15.75" customHeight="1">
      <c r="A1522" s="15"/>
      <c r="B1522" s="15"/>
      <c r="C1522" s="15"/>
      <c r="D1522" s="15"/>
    </row>
    <row r="1523" ht="15.75" customHeight="1">
      <c r="A1523" s="15"/>
      <c r="B1523" s="15"/>
      <c r="C1523" s="15"/>
      <c r="D1523" s="15"/>
    </row>
    <row r="1524" ht="15.75" customHeight="1">
      <c r="A1524" s="15"/>
      <c r="B1524" s="15"/>
      <c r="C1524" s="15"/>
      <c r="D1524" s="15"/>
    </row>
    <row r="1525" ht="15.75" customHeight="1">
      <c r="A1525" s="15"/>
      <c r="B1525" s="15"/>
      <c r="C1525" s="15"/>
      <c r="D1525" s="15"/>
    </row>
    <row r="1526" ht="15.75" customHeight="1">
      <c r="A1526" s="15"/>
      <c r="B1526" s="15"/>
      <c r="C1526" s="15"/>
      <c r="D1526" s="15"/>
    </row>
    <row r="1527" ht="15.75" customHeight="1">
      <c r="A1527" s="15"/>
      <c r="B1527" s="15"/>
      <c r="C1527" s="15"/>
      <c r="D1527" s="15"/>
    </row>
    <row r="1528" ht="15.75" customHeight="1">
      <c r="A1528" s="15"/>
      <c r="B1528" s="15"/>
      <c r="C1528" s="15"/>
      <c r="D1528" s="15"/>
    </row>
    <row r="1529" ht="15.75" customHeight="1">
      <c r="A1529" s="15"/>
      <c r="B1529" s="15"/>
      <c r="C1529" s="15"/>
      <c r="D1529" s="15"/>
    </row>
    <row r="1530" ht="15.75" customHeight="1">
      <c r="A1530" s="15"/>
      <c r="B1530" s="15"/>
      <c r="C1530" s="15"/>
      <c r="D1530" s="15"/>
    </row>
    <row r="1531" ht="15.75" customHeight="1">
      <c r="A1531" s="15"/>
      <c r="B1531" s="15"/>
      <c r="C1531" s="15"/>
      <c r="D1531" s="15"/>
    </row>
    <row r="1532" ht="15.75" customHeight="1">
      <c r="A1532" s="15"/>
      <c r="B1532" s="15"/>
      <c r="C1532" s="15"/>
      <c r="D1532" s="15"/>
    </row>
    <row r="1533" ht="15.75" customHeight="1">
      <c r="A1533" s="15"/>
      <c r="B1533" s="15"/>
      <c r="C1533" s="15"/>
      <c r="D1533" s="15"/>
    </row>
    <row r="1534" ht="15.75" customHeight="1">
      <c r="A1534" s="15"/>
      <c r="B1534" s="15"/>
      <c r="C1534" s="15"/>
      <c r="D1534" s="15"/>
    </row>
    <row r="1535" ht="15.75" customHeight="1">
      <c r="A1535" s="15"/>
      <c r="B1535" s="15"/>
      <c r="C1535" s="15"/>
      <c r="D1535" s="15"/>
    </row>
    <row r="1536" ht="15.75" customHeight="1">
      <c r="A1536" s="15"/>
      <c r="B1536" s="15"/>
      <c r="C1536" s="15"/>
      <c r="D1536" s="15"/>
    </row>
    <row r="1537" ht="15.75" customHeight="1">
      <c r="A1537" s="15"/>
      <c r="B1537" s="15"/>
      <c r="C1537" s="15"/>
      <c r="D1537" s="15"/>
    </row>
    <row r="1538" ht="15.75" customHeight="1">
      <c r="A1538" s="15"/>
      <c r="B1538" s="15"/>
      <c r="C1538" s="15"/>
      <c r="D1538" s="15"/>
    </row>
    <row r="1539" ht="15.75" customHeight="1">
      <c r="A1539" s="15"/>
      <c r="B1539" s="15"/>
      <c r="C1539" s="15"/>
      <c r="D1539" s="15"/>
    </row>
    <row r="1540" ht="15.75" customHeight="1">
      <c r="A1540" s="15"/>
      <c r="B1540" s="15"/>
      <c r="C1540" s="15"/>
      <c r="D1540" s="15"/>
    </row>
    <row r="1541" ht="15.75" customHeight="1">
      <c r="A1541" s="15"/>
      <c r="B1541" s="15"/>
      <c r="C1541" s="15"/>
      <c r="D1541" s="15"/>
    </row>
    <row r="1542" ht="15.75" customHeight="1">
      <c r="A1542" s="15"/>
      <c r="B1542" s="15"/>
      <c r="C1542" s="15"/>
      <c r="D1542" s="15"/>
    </row>
    <row r="1543" ht="15.75" customHeight="1">
      <c r="A1543" s="15"/>
      <c r="B1543" s="15"/>
      <c r="C1543" s="15"/>
      <c r="D1543" s="15"/>
    </row>
    <row r="1544" ht="15.75" customHeight="1">
      <c r="A1544" s="15"/>
      <c r="B1544" s="15"/>
      <c r="C1544" s="15"/>
      <c r="D1544" s="15"/>
    </row>
    <row r="1545" ht="15.75" customHeight="1">
      <c r="A1545" s="15"/>
      <c r="B1545" s="15"/>
      <c r="C1545" s="15"/>
      <c r="D1545" s="15"/>
    </row>
    <row r="1546" ht="15.75" customHeight="1">
      <c r="A1546" s="15"/>
      <c r="B1546" s="15"/>
      <c r="C1546" s="15"/>
      <c r="D1546" s="15"/>
    </row>
    <row r="1547" ht="15.75" customHeight="1">
      <c r="A1547" s="15"/>
      <c r="B1547" s="15"/>
      <c r="C1547" s="15"/>
      <c r="D1547" s="15"/>
    </row>
    <row r="1548" ht="15.75" customHeight="1">
      <c r="A1548" s="15"/>
      <c r="B1548" s="15"/>
      <c r="C1548" s="15"/>
      <c r="D1548" s="15"/>
    </row>
    <row r="1549" ht="15.75" customHeight="1">
      <c r="A1549" s="15"/>
      <c r="B1549" s="15"/>
      <c r="C1549" s="15"/>
      <c r="D1549" s="15"/>
    </row>
    <row r="1550" ht="15.75" customHeight="1">
      <c r="A1550" s="15"/>
      <c r="B1550" s="15"/>
      <c r="C1550" s="15"/>
      <c r="D1550" s="15"/>
    </row>
    <row r="1551" ht="15.75" customHeight="1">
      <c r="A1551" s="15"/>
      <c r="B1551" s="15"/>
      <c r="C1551" s="15"/>
      <c r="D1551" s="15"/>
    </row>
    <row r="1552" ht="15.75" customHeight="1">
      <c r="A1552" s="15"/>
      <c r="B1552" s="15"/>
      <c r="C1552" s="15"/>
      <c r="D1552" s="15"/>
    </row>
    <row r="1553" ht="15.75" customHeight="1">
      <c r="A1553" s="15"/>
      <c r="B1553" s="15"/>
      <c r="C1553" s="15"/>
      <c r="D1553" s="15"/>
    </row>
    <row r="1554" ht="15.75" customHeight="1">
      <c r="A1554" s="15"/>
      <c r="B1554" s="15"/>
      <c r="C1554" s="15"/>
      <c r="D1554" s="15"/>
    </row>
    <row r="1555" ht="15.75" customHeight="1">
      <c r="A1555" s="15"/>
      <c r="B1555" s="15"/>
      <c r="C1555" s="15"/>
      <c r="D1555" s="15"/>
    </row>
    <row r="1556" ht="15.75" customHeight="1">
      <c r="A1556" s="15"/>
      <c r="B1556" s="15"/>
      <c r="C1556" s="15"/>
      <c r="D1556" s="15"/>
    </row>
    <row r="1557" ht="15.75" customHeight="1">
      <c r="A1557" s="15"/>
      <c r="B1557" s="15"/>
      <c r="C1557" s="15"/>
      <c r="D1557" s="15"/>
    </row>
    <row r="1558" ht="15.75" customHeight="1">
      <c r="A1558" s="15"/>
      <c r="B1558" s="15"/>
      <c r="C1558" s="15"/>
      <c r="D1558" s="15"/>
    </row>
    <row r="1559" ht="15.75" customHeight="1">
      <c r="A1559" s="15"/>
      <c r="B1559" s="15"/>
      <c r="C1559" s="15"/>
      <c r="D1559" s="15"/>
    </row>
    <row r="1560" ht="15.75" customHeight="1">
      <c r="A1560" s="15"/>
      <c r="B1560" s="15"/>
      <c r="C1560" s="15"/>
      <c r="D1560" s="15"/>
    </row>
    <row r="1561" ht="15.75" customHeight="1">
      <c r="A1561" s="15"/>
      <c r="B1561" s="15"/>
      <c r="C1561" s="15"/>
      <c r="D1561" s="15"/>
    </row>
    <row r="1562" ht="15.75" customHeight="1">
      <c r="A1562" s="15"/>
      <c r="B1562" s="15"/>
      <c r="C1562" s="15"/>
      <c r="D1562" s="15"/>
    </row>
    <row r="1563" ht="15.75" customHeight="1">
      <c r="A1563" s="15"/>
      <c r="B1563" s="15"/>
      <c r="C1563" s="15"/>
      <c r="D1563" s="15"/>
    </row>
    <row r="1564" ht="15.75" customHeight="1">
      <c r="A1564" s="15"/>
      <c r="B1564" s="15"/>
      <c r="C1564" s="15"/>
      <c r="D1564" s="15"/>
    </row>
    <row r="1565" ht="15.75" customHeight="1">
      <c r="A1565" s="15"/>
      <c r="B1565" s="15"/>
      <c r="C1565" s="15"/>
      <c r="D1565" s="15"/>
    </row>
    <row r="1566" ht="15.75" customHeight="1">
      <c r="A1566" s="15"/>
      <c r="B1566" s="15"/>
      <c r="C1566" s="15"/>
      <c r="D1566" s="15"/>
    </row>
    <row r="1567" ht="15.75" customHeight="1">
      <c r="A1567" s="15"/>
      <c r="B1567" s="15"/>
      <c r="C1567" s="15"/>
      <c r="D1567" s="15"/>
    </row>
    <row r="1568" ht="15.75" customHeight="1">
      <c r="A1568" s="15"/>
      <c r="B1568" s="15"/>
      <c r="C1568" s="15"/>
      <c r="D1568" s="15"/>
    </row>
    <row r="1569" ht="15.75" customHeight="1">
      <c r="A1569" s="15"/>
      <c r="B1569" s="15"/>
      <c r="C1569" s="15"/>
      <c r="D1569" s="15"/>
    </row>
    <row r="1570" ht="15.75" customHeight="1">
      <c r="A1570" s="15"/>
      <c r="B1570" s="15"/>
      <c r="C1570" s="15"/>
      <c r="D1570" s="15"/>
    </row>
    <row r="1571" ht="15.75" customHeight="1">
      <c r="A1571" s="15"/>
      <c r="B1571" s="15"/>
      <c r="C1571" s="15"/>
      <c r="D1571" s="15"/>
    </row>
    <row r="1572" ht="15.75" customHeight="1">
      <c r="A1572" s="15"/>
      <c r="B1572" s="15"/>
      <c r="C1572" s="15"/>
      <c r="D1572" s="15"/>
    </row>
    <row r="1573" ht="15.75" customHeight="1">
      <c r="A1573" s="15"/>
      <c r="B1573" s="15"/>
      <c r="C1573" s="15"/>
      <c r="D1573" s="15"/>
    </row>
    <row r="1574" ht="15.75" customHeight="1">
      <c r="A1574" s="15"/>
      <c r="B1574" s="15"/>
      <c r="C1574" s="15"/>
      <c r="D1574" s="15"/>
    </row>
    <row r="1575" ht="15.75" customHeight="1">
      <c r="A1575" s="15"/>
      <c r="B1575" s="15"/>
      <c r="C1575" s="15"/>
      <c r="D1575" s="15"/>
    </row>
    <row r="1576" ht="15.75" customHeight="1">
      <c r="A1576" s="15"/>
      <c r="B1576" s="15"/>
      <c r="C1576" s="15"/>
      <c r="D1576" s="15"/>
    </row>
    <row r="1577" ht="15.75" customHeight="1">
      <c r="A1577" s="15"/>
      <c r="B1577" s="15"/>
      <c r="C1577" s="15"/>
      <c r="D1577" s="15"/>
    </row>
    <row r="1578" ht="15.75" customHeight="1">
      <c r="A1578" s="15"/>
      <c r="B1578" s="15"/>
      <c r="C1578" s="15"/>
      <c r="D1578" s="15"/>
    </row>
    <row r="1579" ht="15.75" customHeight="1">
      <c r="A1579" s="15"/>
      <c r="B1579" s="15"/>
      <c r="C1579" s="15"/>
      <c r="D1579" s="15"/>
    </row>
    <row r="1580" ht="15.75" customHeight="1">
      <c r="A1580" s="15"/>
      <c r="B1580" s="15"/>
      <c r="C1580" s="15"/>
      <c r="D1580" s="15"/>
    </row>
    <row r="1581" ht="15.75" customHeight="1">
      <c r="A1581" s="15"/>
      <c r="B1581" s="15"/>
      <c r="C1581" s="15"/>
      <c r="D1581" s="15"/>
    </row>
    <row r="1582" ht="15.75" customHeight="1">
      <c r="A1582" s="15"/>
      <c r="B1582" s="15"/>
      <c r="C1582" s="15"/>
      <c r="D1582" s="15"/>
    </row>
    <row r="1583" ht="15.75" customHeight="1">
      <c r="A1583" s="15"/>
      <c r="B1583" s="15"/>
      <c r="C1583" s="15"/>
      <c r="D1583" s="15"/>
    </row>
    <row r="1584" ht="15.75" customHeight="1">
      <c r="A1584" s="15"/>
      <c r="B1584" s="15"/>
      <c r="C1584" s="15"/>
      <c r="D1584" s="15"/>
    </row>
    <row r="1585" ht="15.75" customHeight="1">
      <c r="A1585" s="15"/>
      <c r="B1585" s="15"/>
      <c r="C1585" s="15"/>
      <c r="D1585" s="15"/>
    </row>
    <row r="1586" ht="15.75" customHeight="1">
      <c r="A1586" s="15"/>
      <c r="B1586" s="15"/>
      <c r="C1586" s="15"/>
      <c r="D1586" s="15"/>
    </row>
    <row r="1587" ht="15.75" customHeight="1">
      <c r="A1587" s="15"/>
      <c r="B1587" s="15"/>
      <c r="C1587" s="15"/>
      <c r="D1587" s="15"/>
    </row>
    <row r="1588" ht="15.75" customHeight="1">
      <c r="A1588" s="15"/>
      <c r="B1588" s="15"/>
      <c r="C1588" s="15"/>
      <c r="D1588" s="15"/>
    </row>
    <row r="1589" ht="15.75" customHeight="1">
      <c r="A1589" s="15"/>
      <c r="B1589" s="15"/>
      <c r="C1589" s="15"/>
      <c r="D1589" s="15"/>
    </row>
    <row r="1590" ht="15.75" customHeight="1">
      <c r="A1590" s="15"/>
      <c r="B1590" s="15"/>
      <c r="C1590" s="15"/>
      <c r="D1590" s="15"/>
    </row>
    <row r="1591" ht="15.75" customHeight="1">
      <c r="A1591" s="15"/>
      <c r="B1591" s="15"/>
      <c r="C1591" s="15"/>
      <c r="D1591" s="15"/>
    </row>
    <row r="1592" ht="15.75" customHeight="1">
      <c r="A1592" s="15"/>
      <c r="B1592" s="15"/>
      <c r="C1592" s="15"/>
      <c r="D1592" s="15"/>
    </row>
    <row r="1593" ht="15.75" customHeight="1">
      <c r="A1593" s="15"/>
      <c r="B1593" s="15"/>
      <c r="C1593" s="15"/>
      <c r="D1593" s="15"/>
    </row>
    <row r="1594" ht="15.75" customHeight="1">
      <c r="A1594" s="15"/>
      <c r="B1594" s="15"/>
      <c r="C1594" s="15"/>
      <c r="D1594" s="15"/>
    </row>
    <row r="1595" ht="15.75" customHeight="1">
      <c r="A1595" s="15"/>
      <c r="B1595" s="15"/>
      <c r="C1595" s="15"/>
      <c r="D1595" s="15"/>
    </row>
    <row r="1596" ht="15.75" customHeight="1">
      <c r="A1596" s="15"/>
      <c r="B1596" s="15"/>
      <c r="C1596" s="15"/>
      <c r="D1596" s="15"/>
    </row>
    <row r="1597" ht="15.75" customHeight="1">
      <c r="A1597" s="15"/>
      <c r="B1597" s="15"/>
      <c r="C1597" s="15"/>
      <c r="D1597" s="15"/>
    </row>
    <row r="1598" ht="15.75" customHeight="1">
      <c r="A1598" s="15"/>
      <c r="B1598" s="15"/>
      <c r="C1598" s="15"/>
      <c r="D1598" s="15"/>
    </row>
    <row r="1599" ht="15.75" customHeight="1">
      <c r="A1599" s="15"/>
      <c r="B1599" s="15"/>
      <c r="C1599" s="15"/>
      <c r="D1599" s="15"/>
    </row>
    <row r="1600" ht="15.75" customHeight="1">
      <c r="A1600" s="15"/>
      <c r="B1600" s="15"/>
      <c r="C1600" s="15"/>
      <c r="D1600" s="15"/>
    </row>
    <row r="1601" ht="15.75" customHeight="1">
      <c r="A1601" s="15"/>
      <c r="B1601" s="15"/>
      <c r="C1601" s="15"/>
      <c r="D1601" s="15"/>
    </row>
    <row r="1602" ht="15.75" customHeight="1">
      <c r="A1602" s="15"/>
      <c r="B1602" s="15"/>
      <c r="C1602" s="15"/>
      <c r="D1602" s="1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0.0"/>
    <col customWidth="1" min="3" max="3" width="46.0"/>
    <col customWidth="1" min="4" max="4" width="30.0"/>
    <col customWidth="1" min="5" max="5" width="12.0"/>
    <col customWidth="1" min="6" max="6" width="14.0"/>
  </cols>
  <sheetData>
    <row r="1" ht="36.0" customHeight="1">
      <c r="A1" s="17" t="s">
        <v>1448</v>
      </c>
      <c r="B1" s="18"/>
      <c r="C1" s="18"/>
      <c r="D1" s="18"/>
      <c r="E1" s="18"/>
      <c r="F1" s="19"/>
    </row>
    <row r="2" ht="18.0" customHeight="1">
      <c r="A2" s="20" t="s">
        <v>1</v>
      </c>
      <c r="B2" s="18"/>
      <c r="C2" s="18"/>
      <c r="D2" s="18"/>
      <c r="E2" s="18"/>
      <c r="F2" s="19"/>
    </row>
    <row r="3" ht="18.0" customHeight="1">
      <c r="A3" s="21" t="s">
        <v>2</v>
      </c>
      <c r="B3" s="21" t="s">
        <v>3</v>
      </c>
      <c r="C3" s="21" t="s">
        <v>1449</v>
      </c>
      <c r="D3" s="21" t="s">
        <v>1450</v>
      </c>
      <c r="E3" s="21" t="s">
        <v>5</v>
      </c>
      <c r="F3" s="21" t="s">
        <v>6</v>
      </c>
    </row>
    <row r="4" ht="15.0" customHeight="1">
      <c r="A4" s="4">
        <v>205.0</v>
      </c>
      <c r="B4" s="5" t="s">
        <v>1451</v>
      </c>
      <c r="C4" s="6" t="s">
        <v>1452</v>
      </c>
      <c r="D4" s="6" t="s">
        <v>1453</v>
      </c>
      <c r="E4" s="4" t="s">
        <v>5</v>
      </c>
      <c r="F4" s="7">
        <v>0.0</v>
      </c>
      <c r="H4" s="22" t="str">
        <f t="shared" ref="H4:H475" si="1">CONCATENATE(B4," ",C4)</f>
        <v>Trabajos Preliminares Baño químico</v>
      </c>
      <c r="I4" s="23">
        <f t="shared" ref="I4:I20" si="2">F4</f>
        <v>0</v>
      </c>
    </row>
    <row r="5" ht="15.0" customHeight="1">
      <c r="A5" s="8">
        <v>107.0</v>
      </c>
      <c r="B5" s="9" t="s">
        <v>1451</v>
      </c>
      <c r="C5" s="10" t="s">
        <v>1454</v>
      </c>
      <c r="D5" s="10"/>
      <c r="E5" s="8" t="s">
        <v>22</v>
      </c>
      <c r="F5" s="11">
        <v>527065.34</v>
      </c>
      <c r="H5" s="22" t="str">
        <f t="shared" si="1"/>
        <v>Trabajos Preliminares Cartel de obra</v>
      </c>
      <c r="I5" s="23">
        <f t="shared" si="2"/>
        <v>527065.34</v>
      </c>
    </row>
    <row r="6" ht="15.0" customHeight="1">
      <c r="A6" s="4">
        <v>108.0</v>
      </c>
      <c r="B6" s="5" t="s">
        <v>1451</v>
      </c>
      <c r="C6" s="6" t="s">
        <v>1455</v>
      </c>
      <c r="D6" s="6"/>
      <c r="E6" s="4" t="s">
        <v>76</v>
      </c>
      <c r="F6" s="7">
        <v>53961.44</v>
      </c>
      <c r="H6" s="22" t="str">
        <f t="shared" si="1"/>
        <v>Trabajos Preliminares Cerco de obra</v>
      </c>
      <c r="I6" s="23">
        <f t="shared" si="2"/>
        <v>53961.44</v>
      </c>
    </row>
    <row r="7" ht="15.0" customHeight="1">
      <c r="A7" s="8">
        <v>117.0</v>
      </c>
      <c r="B7" s="9" t="s">
        <v>1451</v>
      </c>
      <c r="C7" s="10" t="s">
        <v>1456</v>
      </c>
      <c r="D7" s="10" t="s">
        <v>1457</v>
      </c>
      <c r="E7" s="8" t="s">
        <v>5</v>
      </c>
      <c r="F7" s="11">
        <v>0.0</v>
      </c>
      <c r="H7" s="22" t="str">
        <f t="shared" si="1"/>
        <v>Trabajos Preliminares Contenedor chico</v>
      </c>
      <c r="I7" s="23">
        <f t="shared" si="2"/>
        <v>0</v>
      </c>
    </row>
    <row r="8" ht="15.0" customHeight="1">
      <c r="A8" s="4">
        <v>211.0</v>
      </c>
      <c r="B8" s="5" t="s">
        <v>1451</v>
      </c>
      <c r="C8" s="6" t="s">
        <v>1458</v>
      </c>
      <c r="D8" s="6" t="s">
        <v>1457</v>
      </c>
      <c r="E8" s="4" t="s">
        <v>5</v>
      </c>
      <c r="F8" s="7">
        <v>0.0</v>
      </c>
      <c r="H8" s="22" t="str">
        <f t="shared" si="1"/>
        <v>Trabajos Preliminares Contenedor grande</v>
      </c>
      <c r="I8" s="23">
        <f t="shared" si="2"/>
        <v>0</v>
      </c>
    </row>
    <row r="9" ht="15.0" customHeight="1">
      <c r="A9" s="8">
        <v>109.0</v>
      </c>
      <c r="B9" s="9" t="s">
        <v>1451</v>
      </c>
      <c r="C9" s="10" t="s">
        <v>1459</v>
      </c>
      <c r="D9" s="10"/>
      <c r="E9" s="8" t="s">
        <v>76</v>
      </c>
      <c r="F9" s="11">
        <v>125491.76</v>
      </c>
      <c r="H9" s="22" t="str">
        <f t="shared" si="1"/>
        <v>Trabajos Preliminares Defensa de protección para trabajo en obra</v>
      </c>
      <c r="I9" s="23">
        <f t="shared" si="2"/>
        <v>125491.76</v>
      </c>
    </row>
    <row r="10" ht="15.0" customHeight="1">
      <c r="A10" s="4">
        <v>432.0</v>
      </c>
      <c r="B10" s="5" t="s">
        <v>1451</v>
      </c>
      <c r="C10" s="6" t="s">
        <v>1460</v>
      </c>
      <c r="D10" s="6" t="s">
        <v>1461</v>
      </c>
      <c r="E10" s="4" t="s">
        <v>5</v>
      </c>
      <c r="F10" s="7">
        <v>836098.48</v>
      </c>
      <c r="H10" s="22" t="str">
        <f t="shared" si="1"/>
        <v>Trabajos Preliminares Empalizada 10ml x 2,00m altura</v>
      </c>
      <c r="I10" s="23">
        <f t="shared" si="2"/>
        <v>836098.48</v>
      </c>
    </row>
    <row r="11" ht="15.0" customHeight="1">
      <c r="A11" s="8">
        <v>258.0</v>
      </c>
      <c r="B11" s="9" t="s">
        <v>1451</v>
      </c>
      <c r="C11" s="10" t="s">
        <v>1462</v>
      </c>
      <c r="D11" s="10" t="s">
        <v>1463</v>
      </c>
      <c r="E11" s="8" t="s">
        <v>22</v>
      </c>
      <c r="F11" s="11">
        <v>11294.28</v>
      </c>
      <c r="H11" s="22" t="str">
        <f t="shared" si="1"/>
        <v>Trabajos Preliminares Limpieza de terreno</v>
      </c>
      <c r="I11" s="23">
        <f t="shared" si="2"/>
        <v>11294.28</v>
      </c>
    </row>
    <row r="12" ht="15.0" customHeight="1">
      <c r="A12" s="4">
        <v>104.0</v>
      </c>
      <c r="B12" s="5" t="s">
        <v>1451</v>
      </c>
      <c r="C12" s="6" t="s">
        <v>1464</v>
      </c>
      <c r="D12" s="6"/>
      <c r="E12" s="4" t="s">
        <v>22</v>
      </c>
      <c r="F12" s="7">
        <v>26604.23</v>
      </c>
      <c r="H12" s="22" t="str">
        <f t="shared" si="1"/>
        <v>Trabajos Preliminares Limpieza y nivelación de terreno.</v>
      </c>
      <c r="I12" s="23">
        <f t="shared" si="2"/>
        <v>26604.23</v>
      </c>
    </row>
    <row r="13" ht="15.0" customHeight="1">
      <c r="A13" s="8">
        <v>369.0</v>
      </c>
      <c r="B13" s="9" t="s">
        <v>1451</v>
      </c>
      <c r="C13" s="10" t="s">
        <v>1465</v>
      </c>
      <c r="D13" s="10" t="s">
        <v>1453</v>
      </c>
      <c r="E13" s="8" t="s">
        <v>5</v>
      </c>
      <c r="F13" s="11">
        <v>0.0</v>
      </c>
      <c r="H13" s="22" t="str">
        <f t="shared" si="1"/>
        <v>Trabajos Preliminares Obrador (1,80 x 2,40 mts)</v>
      </c>
      <c r="I13" s="23">
        <f t="shared" si="2"/>
        <v>0</v>
      </c>
    </row>
    <row r="14" ht="15.0" customHeight="1">
      <c r="A14" s="4">
        <v>105.0</v>
      </c>
      <c r="B14" s="5" t="s">
        <v>1451</v>
      </c>
      <c r="C14" s="6" t="s">
        <v>1466</v>
      </c>
      <c r="D14" s="6"/>
      <c r="E14" s="4" t="s">
        <v>22</v>
      </c>
      <c r="F14" s="7">
        <v>238434.33</v>
      </c>
      <c r="H14" s="22" t="str">
        <f t="shared" si="1"/>
        <v>Trabajos Preliminares Obrador, depósito y sanitario</v>
      </c>
      <c r="I14" s="23">
        <f t="shared" si="2"/>
        <v>238434.33</v>
      </c>
    </row>
    <row r="15" ht="15.0" customHeight="1">
      <c r="A15" s="8">
        <v>14.0</v>
      </c>
      <c r="B15" s="9" t="s">
        <v>1451</v>
      </c>
      <c r="C15" s="10" t="s">
        <v>1467</v>
      </c>
      <c r="D15" s="10" t="s">
        <v>1468</v>
      </c>
      <c r="E15" s="8" t="s">
        <v>515</v>
      </c>
      <c r="F15" s="11">
        <v>953737.26</v>
      </c>
      <c r="H15" s="22" t="str">
        <f t="shared" si="1"/>
        <v>Trabajos Preliminares Obrador, Replanteo y Nivelación</v>
      </c>
      <c r="I15" s="23">
        <f t="shared" si="2"/>
        <v>953737.26</v>
      </c>
    </row>
    <row r="16" ht="15.0" customHeight="1">
      <c r="A16" s="4">
        <v>156.0</v>
      </c>
      <c r="B16" s="5" t="s">
        <v>1451</v>
      </c>
      <c r="C16" s="6" t="s">
        <v>1469</v>
      </c>
      <c r="D16" s="6"/>
      <c r="E16" s="4" t="s">
        <v>5</v>
      </c>
      <c r="F16" s="7">
        <v>376475.25</v>
      </c>
      <c r="H16" s="22" t="str">
        <f t="shared" si="1"/>
        <v>Trabajos Preliminares Pilar de luz tradicional</v>
      </c>
      <c r="I16" s="23">
        <f t="shared" si="2"/>
        <v>376475.25</v>
      </c>
    </row>
    <row r="17" ht="15.0" customHeight="1">
      <c r="A17" s="8">
        <v>106.0</v>
      </c>
      <c r="B17" s="9" t="s">
        <v>1451</v>
      </c>
      <c r="C17" s="10" t="s">
        <v>1470</v>
      </c>
      <c r="D17" s="10"/>
      <c r="E17" s="8" t="s">
        <v>22</v>
      </c>
      <c r="F17" s="11">
        <v>3513.76</v>
      </c>
      <c r="H17" s="22" t="str">
        <f t="shared" si="1"/>
        <v>Trabajos Preliminares Replanteo</v>
      </c>
      <c r="I17" s="23">
        <f t="shared" si="2"/>
        <v>3513.76</v>
      </c>
    </row>
    <row r="18" ht="15.0" customHeight="1">
      <c r="A18" s="4">
        <v>237.0</v>
      </c>
      <c r="B18" s="5" t="s">
        <v>1451</v>
      </c>
      <c r="C18" s="6" t="s">
        <v>1471</v>
      </c>
      <c r="D18" s="6"/>
      <c r="E18" s="4" t="s">
        <v>22</v>
      </c>
      <c r="F18" s="7">
        <v>20078.66</v>
      </c>
      <c r="H18" s="22" t="str">
        <f t="shared" si="1"/>
        <v>Trabajos Preliminares Retiro de tierra y nivelación de sup. p/ejecutar contrapisos y/o plateas. Incluye compactacion</v>
      </c>
      <c r="I18" s="23">
        <f t="shared" si="2"/>
        <v>20078.66</v>
      </c>
    </row>
    <row r="19" ht="15.0" customHeight="1">
      <c r="A19" s="8">
        <v>113.0</v>
      </c>
      <c r="B19" s="9" t="s">
        <v>1472</v>
      </c>
      <c r="C19" s="10" t="s">
        <v>1473</v>
      </c>
      <c r="D19" s="10"/>
      <c r="E19" s="8" t="s">
        <v>22</v>
      </c>
      <c r="F19" s="11">
        <v>57578.59</v>
      </c>
      <c r="H19" s="22" t="str">
        <f t="shared" si="1"/>
        <v>Demoliciones De contrapisos</v>
      </c>
      <c r="I19" s="23">
        <f t="shared" si="2"/>
        <v>57578.59</v>
      </c>
    </row>
    <row r="20" ht="15.0" customHeight="1">
      <c r="A20" s="4">
        <v>110.0</v>
      </c>
      <c r="B20" s="5" t="s">
        <v>1472</v>
      </c>
      <c r="C20" s="6" t="s">
        <v>1474</v>
      </c>
      <c r="D20" s="6"/>
      <c r="E20" s="4" t="s">
        <v>65</v>
      </c>
      <c r="F20" s="7">
        <v>463827.32</v>
      </c>
      <c r="H20" s="22" t="str">
        <f t="shared" si="1"/>
        <v>Demoliciones De estructura de hormigón</v>
      </c>
      <c r="I20" s="23">
        <f t="shared" si="2"/>
        <v>463827.32</v>
      </c>
    </row>
    <row r="21" ht="15.0" customHeight="1">
      <c r="A21" s="8">
        <v>111.0</v>
      </c>
      <c r="B21" s="9" t="s">
        <v>1472</v>
      </c>
      <c r="C21" s="10" t="s">
        <v>1475</v>
      </c>
      <c r="D21" s="10"/>
      <c r="E21" s="8" t="s">
        <v>65</v>
      </c>
      <c r="F21" s="11">
        <v>268207.84</v>
      </c>
      <c r="H21" s="22" t="str">
        <f t="shared" si="1"/>
        <v>Demoliciones De mamposterías</v>
      </c>
      <c r="I21" s="24">
        <f>F21*0.15</f>
        <v>40231.176</v>
      </c>
    </row>
    <row r="22" ht="15.0" customHeight="1">
      <c r="A22" s="4">
        <v>112.0</v>
      </c>
      <c r="B22" s="5" t="s">
        <v>1472</v>
      </c>
      <c r="C22" s="6" t="s">
        <v>1476</v>
      </c>
      <c r="D22" s="6"/>
      <c r="E22" s="4" t="s">
        <v>22</v>
      </c>
      <c r="F22" s="7">
        <v>33218.38</v>
      </c>
      <c r="H22" s="22" t="str">
        <f t="shared" si="1"/>
        <v>Demoliciones De pisos</v>
      </c>
      <c r="I22" s="23">
        <f t="shared" ref="I22:I475" si="3">F22</f>
        <v>33218.38</v>
      </c>
    </row>
    <row r="23" ht="15.0" customHeight="1">
      <c r="A23" s="8">
        <v>263.0</v>
      </c>
      <c r="B23" s="9" t="s">
        <v>1472</v>
      </c>
      <c r="C23" s="10" t="s">
        <v>1477</v>
      </c>
      <c r="D23" s="10"/>
      <c r="E23" s="8" t="s">
        <v>22</v>
      </c>
      <c r="F23" s="11">
        <v>24606.24</v>
      </c>
      <c r="H23" s="22" t="str">
        <f t="shared" si="1"/>
        <v>Demoliciones De techos (Chapas y Tejas)</v>
      </c>
      <c r="I23" s="23">
        <f t="shared" si="3"/>
        <v>24606.24</v>
      </c>
    </row>
    <row r="24" ht="15.0" customHeight="1">
      <c r="A24" s="4">
        <v>116.0</v>
      </c>
      <c r="B24" s="5" t="s">
        <v>1472</v>
      </c>
      <c r="C24" s="6" t="s">
        <v>1478</v>
      </c>
      <c r="D24" s="6"/>
      <c r="E24" s="4" t="s">
        <v>22</v>
      </c>
      <c r="F24" s="7">
        <v>1476373.42</v>
      </c>
      <c r="H24" s="22" t="str">
        <f t="shared" si="1"/>
        <v>Demoliciones Demolición obra completa</v>
      </c>
      <c r="I24" s="23">
        <f t="shared" si="3"/>
        <v>1476373.42</v>
      </c>
    </row>
    <row r="25" ht="15.0" customHeight="1">
      <c r="A25" s="8">
        <v>115.0</v>
      </c>
      <c r="B25" s="9" t="s">
        <v>1472</v>
      </c>
      <c r="C25" s="10" t="s">
        <v>1479</v>
      </c>
      <c r="D25" s="10"/>
      <c r="E25" s="8" t="s">
        <v>22</v>
      </c>
      <c r="F25" s="11">
        <v>31742.08</v>
      </c>
      <c r="H25" s="22" t="str">
        <f t="shared" si="1"/>
        <v>Demoliciones Picado de revestimiento</v>
      </c>
      <c r="I25" s="23">
        <f t="shared" si="3"/>
        <v>31742.08</v>
      </c>
    </row>
    <row r="26" ht="15.0" customHeight="1">
      <c r="A26" s="4">
        <v>114.0</v>
      </c>
      <c r="B26" s="5" t="s">
        <v>1472</v>
      </c>
      <c r="C26" s="6" t="s">
        <v>1480</v>
      </c>
      <c r="D26" s="6"/>
      <c r="E26" s="4" t="s">
        <v>22</v>
      </c>
      <c r="F26" s="7">
        <v>41830.57</v>
      </c>
      <c r="H26" s="22" t="str">
        <f t="shared" si="1"/>
        <v>Demoliciones Picado de revoques</v>
      </c>
      <c r="I26" s="23">
        <f t="shared" si="3"/>
        <v>41830.57</v>
      </c>
    </row>
    <row r="27" ht="15.0" customHeight="1">
      <c r="A27" s="8">
        <v>118.0</v>
      </c>
      <c r="B27" s="9" t="s">
        <v>1472</v>
      </c>
      <c r="C27" s="10" t="s">
        <v>1481</v>
      </c>
      <c r="D27" s="10"/>
      <c r="E27" s="8" t="s">
        <v>22</v>
      </c>
      <c r="F27" s="11">
        <v>12549.17</v>
      </c>
      <c r="H27" s="22" t="str">
        <f t="shared" si="1"/>
        <v>Demoliciones Retiro de membrana existente</v>
      </c>
      <c r="I27" s="23">
        <f t="shared" si="3"/>
        <v>12549.17</v>
      </c>
    </row>
    <row r="28" ht="15.0" customHeight="1">
      <c r="A28" s="4">
        <v>122.0</v>
      </c>
      <c r="B28" s="5" t="s">
        <v>1482</v>
      </c>
      <c r="C28" s="6" t="s">
        <v>1483</v>
      </c>
      <c r="D28" s="6"/>
      <c r="E28" s="4" t="s">
        <v>65</v>
      </c>
      <c r="F28" s="7">
        <v>41412.3</v>
      </c>
      <c r="H28" s="22" t="str">
        <f t="shared" si="1"/>
        <v>Movimiento de suelos Carga y retiro de tierra con camión</v>
      </c>
      <c r="I28" s="23">
        <f t="shared" si="3"/>
        <v>41412.3</v>
      </c>
    </row>
    <row r="29" ht="15.0" customHeight="1">
      <c r="A29" s="8">
        <v>16.0</v>
      </c>
      <c r="B29" s="9" t="s">
        <v>1482</v>
      </c>
      <c r="C29" s="10" t="s">
        <v>1484</v>
      </c>
      <c r="D29" s="10" t="s">
        <v>1485</v>
      </c>
      <c r="E29" s="8" t="s">
        <v>5</v>
      </c>
      <c r="F29" s="11">
        <v>301180.17</v>
      </c>
      <c r="H29" s="22" t="str">
        <f t="shared" si="1"/>
        <v>Movimiento de suelos Construcción aro perimetral de mampostería y losa para pozo ciego.</v>
      </c>
      <c r="I29" s="23">
        <f t="shared" si="3"/>
        <v>301180.17</v>
      </c>
    </row>
    <row r="30" ht="15.0" customHeight="1">
      <c r="A30" s="4">
        <v>121.0</v>
      </c>
      <c r="B30" s="5" t="s">
        <v>1482</v>
      </c>
      <c r="C30" s="6" t="s">
        <v>1486</v>
      </c>
      <c r="D30" s="6"/>
      <c r="E30" s="4" t="s">
        <v>65</v>
      </c>
      <c r="F30" s="7">
        <v>96628.67</v>
      </c>
      <c r="H30" s="22" t="str">
        <f t="shared" si="1"/>
        <v>Movimiento de suelos Destape del terreno (hasta 20/30cm de prof. con pala frontal)</v>
      </c>
      <c r="I30" s="23">
        <f t="shared" si="3"/>
        <v>96628.67</v>
      </c>
    </row>
    <row r="31" ht="15.0" customHeight="1">
      <c r="A31" s="8">
        <v>18.0</v>
      </c>
      <c r="B31" s="9" t="s">
        <v>1482</v>
      </c>
      <c r="C31" s="10" t="s">
        <v>1487</v>
      </c>
      <c r="D31" s="10"/>
      <c r="E31" s="8" t="s">
        <v>65</v>
      </c>
      <c r="F31" s="11">
        <v>52706.55</v>
      </c>
      <c r="H31" s="22" t="str">
        <f t="shared" si="1"/>
        <v>Movimiento de suelos Excavación de bases</v>
      </c>
      <c r="I31" s="23">
        <f t="shared" si="3"/>
        <v>52706.55</v>
      </c>
    </row>
    <row r="32" ht="15.0" customHeight="1">
      <c r="A32" s="4">
        <v>119.0</v>
      </c>
      <c r="B32" s="5" t="s">
        <v>1482</v>
      </c>
      <c r="C32" s="6" t="s">
        <v>1488</v>
      </c>
      <c r="D32" s="6"/>
      <c r="E32" s="4" t="s">
        <v>5</v>
      </c>
      <c r="F32" s="7">
        <v>16313.91</v>
      </c>
      <c r="H32" s="22" t="str">
        <f t="shared" si="1"/>
        <v>Movimiento de suelos Excavación de pozos para pilotín (diam. 20cm - prof. 1.50m)</v>
      </c>
      <c r="I32" s="23">
        <f t="shared" si="3"/>
        <v>16313.91</v>
      </c>
    </row>
    <row r="33" ht="15.0" customHeight="1">
      <c r="A33" s="8">
        <v>120.0</v>
      </c>
      <c r="B33" s="9" t="s">
        <v>1482</v>
      </c>
      <c r="C33" s="10" t="s">
        <v>1489</v>
      </c>
      <c r="D33" s="10"/>
      <c r="E33" s="8" t="s">
        <v>65</v>
      </c>
      <c r="F33" s="11">
        <v>60236.01</v>
      </c>
      <c r="H33" s="22" t="str">
        <f t="shared" si="1"/>
        <v>Movimiento de suelos Excavación de sótano a máquina</v>
      </c>
      <c r="I33" s="23">
        <f t="shared" si="3"/>
        <v>60236.01</v>
      </c>
    </row>
    <row r="34" ht="15.0" customHeight="1">
      <c r="A34" s="4">
        <v>17.0</v>
      </c>
      <c r="B34" s="5" t="s">
        <v>1482</v>
      </c>
      <c r="C34" s="6" t="s">
        <v>1490</v>
      </c>
      <c r="D34" s="6"/>
      <c r="E34" s="4" t="s">
        <v>65</v>
      </c>
      <c r="F34" s="7">
        <v>52706.55</v>
      </c>
      <c r="H34" s="22" t="str">
        <f t="shared" si="1"/>
        <v>Movimiento de suelos Excavación de vigas de fundición</v>
      </c>
      <c r="I34" s="23">
        <f t="shared" si="3"/>
        <v>52706.55</v>
      </c>
    </row>
    <row r="35" ht="15.0" customHeight="1">
      <c r="A35" s="8">
        <v>15.0</v>
      </c>
      <c r="B35" s="9" t="s">
        <v>1482</v>
      </c>
      <c r="C35" s="10" t="s">
        <v>1491</v>
      </c>
      <c r="D35" s="10"/>
      <c r="E35" s="8" t="s">
        <v>65</v>
      </c>
      <c r="F35" s="11">
        <v>71530.32</v>
      </c>
      <c r="H35" s="22" t="str">
        <f t="shared" si="1"/>
        <v>Movimiento de suelos Excavación p/pozo ciego (diámetro 1,60ml)</v>
      </c>
      <c r="I35" s="23">
        <f t="shared" si="3"/>
        <v>71530.32</v>
      </c>
    </row>
    <row r="36" ht="15.0" customHeight="1">
      <c r="A36" s="4">
        <v>212.0</v>
      </c>
      <c r="B36" s="5" t="s">
        <v>1482</v>
      </c>
      <c r="C36" s="6" t="s">
        <v>1492</v>
      </c>
      <c r="D36" s="6"/>
      <c r="E36" s="4" t="s">
        <v>65</v>
      </c>
      <c r="F36" s="7">
        <v>30118.05</v>
      </c>
      <c r="H36" s="22" t="str">
        <f t="shared" si="1"/>
        <v>Movimiento de suelos Relleno de suelos con tierra fértil (para Jardín)</v>
      </c>
      <c r="I36" s="23">
        <f t="shared" si="3"/>
        <v>30118.05</v>
      </c>
    </row>
    <row r="37" ht="15.0" customHeight="1">
      <c r="A37" s="8">
        <v>167.0</v>
      </c>
      <c r="B37" s="9" t="s">
        <v>1482</v>
      </c>
      <c r="C37" s="10" t="s">
        <v>1493</v>
      </c>
      <c r="D37" s="10"/>
      <c r="E37" s="8" t="s">
        <v>65</v>
      </c>
      <c r="F37" s="11">
        <v>22588.49</v>
      </c>
      <c r="H37" s="22" t="str">
        <f t="shared" si="1"/>
        <v>Movimiento de suelos Relleno de suelos con tosca (para nivelar)</v>
      </c>
      <c r="I37" s="23">
        <f t="shared" si="3"/>
        <v>22588.49</v>
      </c>
    </row>
    <row r="38" ht="15.0" customHeight="1">
      <c r="A38" s="4">
        <v>174.0</v>
      </c>
      <c r="B38" s="5" t="s">
        <v>1494</v>
      </c>
      <c r="C38" s="6" t="s">
        <v>1495</v>
      </c>
      <c r="D38" s="6"/>
      <c r="E38" s="4" t="s">
        <v>5</v>
      </c>
      <c r="F38" s="7">
        <v>62745.9</v>
      </c>
      <c r="H38" s="22" t="str">
        <f t="shared" si="1"/>
        <v>Fundaciones Base 1 de H°A° 0.60x0.60 (armado y llenado)</v>
      </c>
      <c r="I38" s="23">
        <f t="shared" si="3"/>
        <v>62745.9</v>
      </c>
    </row>
    <row r="39" ht="15.0" customHeight="1">
      <c r="A39" s="8">
        <v>175.0</v>
      </c>
      <c r="B39" s="9" t="s">
        <v>1494</v>
      </c>
      <c r="C39" s="10" t="s">
        <v>1496</v>
      </c>
      <c r="D39" s="10"/>
      <c r="E39" s="8" t="s">
        <v>5</v>
      </c>
      <c r="F39" s="11">
        <v>82824.54</v>
      </c>
      <c r="H39" s="22" t="str">
        <f t="shared" si="1"/>
        <v>Fundaciones Base 2 de H°A° 0.60x1.00 (armado y llenado)</v>
      </c>
      <c r="I39" s="23">
        <f t="shared" si="3"/>
        <v>82824.54</v>
      </c>
    </row>
    <row r="40" ht="15.0" customHeight="1">
      <c r="A40" s="4">
        <v>19.0</v>
      </c>
      <c r="B40" s="5" t="s">
        <v>1494</v>
      </c>
      <c r="C40" s="6" t="s">
        <v>1497</v>
      </c>
      <c r="D40" s="6"/>
      <c r="E40" s="4" t="s">
        <v>5</v>
      </c>
      <c r="F40" s="7">
        <v>95373.73</v>
      </c>
      <c r="H40" s="22" t="str">
        <f t="shared" si="1"/>
        <v>Fundaciones Base 3 de H°A° 0.80x0.80 (armado y llenado)</v>
      </c>
      <c r="I40" s="23">
        <f t="shared" si="3"/>
        <v>95373.73</v>
      </c>
    </row>
    <row r="41" ht="15.0" customHeight="1">
      <c r="A41" s="8">
        <v>176.0</v>
      </c>
      <c r="B41" s="9" t="s">
        <v>1494</v>
      </c>
      <c r="C41" s="10" t="s">
        <v>1498</v>
      </c>
      <c r="D41" s="10"/>
      <c r="E41" s="8" t="s">
        <v>5</v>
      </c>
      <c r="F41" s="11">
        <v>115452.41</v>
      </c>
      <c r="H41" s="22" t="str">
        <f t="shared" si="1"/>
        <v>Fundaciones Base 4 de H°A° 1.00x1.00 (armado y llenado)</v>
      </c>
      <c r="I41" s="23">
        <f t="shared" si="3"/>
        <v>115452.41</v>
      </c>
    </row>
    <row r="42" ht="15.0" customHeight="1">
      <c r="A42" s="4">
        <v>293.0</v>
      </c>
      <c r="B42" s="5" t="s">
        <v>1494</v>
      </c>
      <c r="C42" s="6" t="s">
        <v>1499</v>
      </c>
      <c r="D42" s="6"/>
      <c r="E42" s="4" t="s">
        <v>65</v>
      </c>
      <c r="F42" s="7">
        <v>112942.57</v>
      </c>
      <c r="H42" s="22" t="str">
        <f t="shared" si="1"/>
        <v>Fundaciones Cimiento corrido de Hormigón de cascotes (con cal y cemento)</v>
      </c>
      <c r="I42" s="23">
        <f t="shared" si="3"/>
        <v>112942.57</v>
      </c>
    </row>
    <row r="43" ht="15.0" customHeight="1">
      <c r="A43" s="8">
        <v>294.0</v>
      </c>
      <c r="B43" s="9" t="s">
        <v>1494</v>
      </c>
      <c r="C43" s="10" t="s">
        <v>1500</v>
      </c>
      <c r="D43" s="10"/>
      <c r="E43" s="8" t="s">
        <v>65</v>
      </c>
      <c r="F43" s="11">
        <v>112942.57</v>
      </c>
      <c r="H43" s="22" t="str">
        <f t="shared" si="1"/>
        <v>Fundaciones Cimiento corrido de Hormigón de cascotes (con cemento de albañilería)</v>
      </c>
      <c r="I43" s="23">
        <f t="shared" si="3"/>
        <v>112942.57</v>
      </c>
    </row>
    <row r="44" ht="15.0" customHeight="1">
      <c r="A44" s="4">
        <v>126.0</v>
      </c>
      <c r="B44" s="5" t="s">
        <v>1494</v>
      </c>
      <c r="C44" s="6" t="s">
        <v>1501</v>
      </c>
      <c r="D44" s="6"/>
      <c r="E44" s="4" t="s">
        <v>76</v>
      </c>
      <c r="F44" s="7">
        <v>37647.55</v>
      </c>
      <c r="H44" s="22" t="str">
        <f t="shared" si="1"/>
        <v>Fundaciones Pilotín (diam. 20cm)</v>
      </c>
      <c r="I44" s="23">
        <f t="shared" si="3"/>
        <v>37647.55</v>
      </c>
    </row>
    <row r="45" ht="15.0" customHeight="1">
      <c r="A45" s="8">
        <v>178.0</v>
      </c>
      <c r="B45" s="9" t="s">
        <v>1494</v>
      </c>
      <c r="C45" s="10" t="s">
        <v>1502</v>
      </c>
      <c r="D45" s="10"/>
      <c r="E45" s="8" t="s">
        <v>22</v>
      </c>
      <c r="F45" s="11">
        <v>36392.62</v>
      </c>
      <c r="H45" s="22" t="str">
        <f t="shared" si="1"/>
        <v>Fundaciones Platea de H°A° (espesor 15cm.)</v>
      </c>
      <c r="I45" s="23">
        <f t="shared" si="3"/>
        <v>36392.62</v>
      </c>
    </row>
    <row r="46" ht="15.0" customHeight="1">
      <c r="A46" s="4">
        <v>179.0</v>
      </c>
      <c r="B46" s="5" t="s">
        <v>1494</v>
      </c>
      <c r="C46" s="6" t="s">
        <v>1503</v>
      </c>
      <c r="D46" s="6"/>
      <c r="E46" s="4" t="s">
        <v>22</v>
      </c>
      <c r="F46" s="7">
        <v>41412.3</v>
      </c>
      <c r="H46" s="22" t="str">
        <f t="shared" si="1"/>
        <v>Fundaciones Platea de H°A° (espesor 20cm.)</v>
      </c>
      <c r="I46" s="23">
        <f t="shared" si="3"/>
        <v>41412.3</v>
      </c>
    </row>
    <row r="47" ht="15.0" customHeight="1">
      <c r="A47" s="8">
        <v>180.0</v>
      </c>
      <c r="B47" s="9" t="s">
        <v>1494</v>
      </c>
      <c r="C47" s="10" t="s">
        <v>1504</v>
      </c>
      <c r="D47" s="10"/>
      <c r="E47" s="8" t="s">
        <v>22</v>
      </c>
      <c r="F47" s="11">
        <v>45177.05</v>
      </c>
      <c r="H47" s="22" t="str">
        <f t="shared" si="1"/>
        <v>Fundaciones Platea de H°A° (espesor 25cm.)</v>
      </c>
      <c r="I47" s="23">
        <f t="shared" si="3"/>
        <v>45177.05</v>
      </c>
    </row>
    <row r="48" ht="15.0" customHeight="1">
      <c r="A48" s="4">
        <v>20.0</v>
      </c>
      <c r="B48" s="5" t="s">
        <v>1494</v>
      </c>
      <c r="C48" s="6" t="s">
        <v>1505</v>
      </c>
      <c r="D48" s="6" t="s">
        <v>1506</v>
      </c>
      <c r="E48" s="4" t="s">
        <v>76</v>
      </c>
      <c r="F48" s="7">
        <v>30118.05</v>
      </c>
      <c r="H48" s="22" t="str">
        <f t="shared" si="1"/>
        <v>Fundaciones Viga de fundación 20x25 (armado y llenado)</v>
      </c>
      <c r="I48" s="23">
        <f t="shared" si="3"/>
        <v>30118.05</v>
      </c>
    </row>
    <row r="49" ht="15.0" customHeight="1">
      <c r="A49" s="8">
        <v>260.0</v>
      </c>
      <c r="B49" s="9" t="s">
        <v>1494</v>
      </c>
      <c r="C49" s="10" t="s">
        <v>1507</v>
      </c>
      <c r="D49" s="10" t="s">
        <v>1508</v>
      </c>
      <c r="E49" s="8" t="s">
        <v>76</v>
      </c>
      <c r="F49" s="11">
        <v>37647.55</v>
      </c>
      <c r="H49" s="22" t="str">
        <f t="shared" si="1"/>
        <v>Fundaciones Viga de fundación 20x30 (armado y llenado)</v>
      </c>
      <c r="I49" s="23">
        <f t="shared" si="3"/>
        <v>37647.55</v>
      </c>
    </row>
    <row r="50" ht="15.0" customHeight="1">
      <c r="A50" s="4">
        <v>442.0</v>
      </c>
      <c r="B50" s="5" t="s">
        <v>1494</v>
      </c>
      <c r="C50" s="6" t="s">
        <v>1509</v>
      </c>
      <c r="D50" s="6" t="s">
        <v>1506</v>
      </c>
      <c r="E50" s="4" t="s">
        <v>76</v>
      </c>
      <c r="F50" s="7">
        <v>37647.7</v>
      </c>
      <c r="H50" s="22" t="str">
        <f t="shared" si="1"/>
        <v>Fundaciones Viga de fundación 25x25 (armado y llenado)</v>
      </c>
      <c r="I50" s="23">
        <f t="shared" si="3"/>
        <v>37647.7</v>
      </c>
    </row>
    <row r="51" ht="15.0" customHeight="1">
      <c r="A51" s="8">
        <v>177.0</v>
      </c>
      <c r="B51" s="9" t="s">
        <v>1494</v>
      </c>
      <c r="C51" s="10" t="s">
        <v>1510</v>
      </c>
      <c r="D51" s="10" t="s">
        <v>1506</v>
      </c>
      <c r="E51" s="8" t="s">
        <v>76</v>
      </c>
      <c r="F51" s="11">
        <v>41412.3</v>
      </c>
      <c r="H51" s="22" t="str">
        <f t="shared" si="1"/>
        <v>Fundaciones Viga de fundación 25x30 (armado y llenado) </v>
      </c>
      <c r="I51" s="23">
        <f t="shared" si="3"/>
        <v>41412.3</v>
      </c>
    </row>
    <row r="52" ht="15.0" customHeight="1">
      <c r="A52" s="4">
        <v>443.0</v>
      </c>
      <c r="B52" s="5" t="s">
        <v>1494</v>
      </c>
      <c r="C52" s="6" t="s">
        <v>1511</v>
      </c>
      <c r="D52" s="6" t="s">
        <v>1506</v>
      </c>
      <c r="E52" s="4" t="s">
        <v>76</v>
      </c>
      <c r="F52" s="7">
        <v>43293.12</v>
      </c>
      <c r="H52" s="22" t="str">
        <f t="shared" si="1"/>
        <v>Fundaciones Viga de fundación 30x30 (armado y llenado)</v>
      </c>
      <c r="I52" s="23">
        <f t="shared" si="3"/>
        <v>43293.12</v>
      </c>
    </row>
    <row r="53" ht="15.0" customHeight="1">
      <c r="A53" s="8">
        <v>190.0</v>
      </c>
      <c r="B53" s="9" t="s">
        <v>1494</v>
      </c>
      <c r="C53" s="10" t="s">
        <v>1512</v>
      </c>
      <c r="D53" s="10"/>
      <c r="E53" s="8" t="s">
        <v>76</v>
      </c>
      <c r="F53" s="11">
        <v>37647.55</v>
      </c>
      <c r="H53" s="22" t="str">
        <f t="shared" si="1"/>
        <v>Fundaciones Zapata de Hormigón Pobre (0.40x0.80)</v>
      </c>
      <c r="I53" s="23">
        <f t="shared" si="3"/>
        <v>37647.55</v>
      </c>
    </row>
    <row r="54" ht="15.0" customHeight="1">
      <c r="A54" s="4">
        <v>22.0</v>
      </c>
      <c r="B54" s="5" t="s">
        <v>1513</v>
      </c>
      <c r="C54" s="6" t="s">
        <v>1514</v>
      </c>
      <c r="D54" s="6" t="s">
        <v>1515</v>
      </c>
      <c r="E54" s="4" t="s">
        <v>22</v>
      </c>
      <c r="F54" s="7">
        <v>19768.66</v>
      </c>
      <c r="H54" s="22" t="str">
        <f t="shared" si="1"/>
        <v>Mampostería de cimientos Mampostería de 15</v>
      </c>
      <c r="I54" s="23">
        <f t="shared" si="3"/>
        <v>19768.66</v>
      </c>
    </row>
    <row r="55" ht="15.0" customHeight="1">
      <c r="A55" s="8">
        <v>295.0</v>
      </c>
      <c r="B55" s="9" t="s">
        <v>1513</v>
      </c>
      <c r="C55" s="10" t="s">
        <v>1516</v>
      </c>
      <c r="D55" s="10"/>
      <c r="E55" s="8" t="s">
        <v>22</v>
      </c>
      <c r="F55" s="11">
        <v>19768.66</v>
      </c>
      <c r="H55" s="22" t="str">
        <f t="shared" si="1"/>
        <v>Mampostería de cimientos Mampostería de 15 (con cemento de albañilería)</v>
      </c>
      <c r="I55" s="23">
        <f t="shared" si="3"/>
        <v>19768.66</v>
      </c>
    </row>
    <row r="56" ht="15.0" customHeight="1">
      <c r="A56" s="4">
        <v>183.0</v>
      </c>
      <c r="B56" s="5" t="s">
        <v>1513</v>
      </c>
      <c r="C56" s="6" t="s">
        <v>1517</v>
      </c>
      <c r="D56" s="6" t="s">
        <v>1515</v>
      </c>
      <c r="E56" s="4" t="s">
        <v>22</v>
      </c>
      <c r="F56" s="7">
        <v>24330.63</v>
      </c>
      <c r="H56" s="22" t="str">
        <f t="shared" si="1"/>
        <v>Mampostería de cimientos Mampostería de 20</v>
      </c>
      <c r="I56" s="23">
        <f t="shared" si="3"/>
        <v>24330.63</v>
      </c>
    </row>
    <row r="57" ht="15.0" customHeight="1">
      <c r="A57" s="8">
        <v>296.0</v>
      </c>
      <c r="B57" s="9" t="s">
        <v>1513</v>
      </c>
      <c r="C57" s="10" t="s">
        <v>1518</v>
      </c>
      <c r="D57" s="10"/>
      <c r="E57" s="8" t="s">
        <v>22</v>
      </c>
      <c r="F57" s="11">
        <v>24330.63</v>
      </c>
      <c r="H57" s="22" t="str">
        <f t="shared" si="1"/>
        <v>Mampostería de cimientos Mampostería de 20 (con cemento de albañilería)</v>
      </c>
      <c r="I57" s="23">
        <f t="shared" si="3"/>
        <v>24330.63</v>
      </c>
    </row>
    <row r="58" ht="15.0" customHeight="1">
      <c r="A58" s="4">
        <v>21.0</v>
      </c>
      <c r="B58" s="5" t="s">
        <v>1513</v>
      </c>
      <c r="C58" s="6" t="s">
        <v>1519</v>
      </c>
      <c r="D58" s="6" t="s">
        <v>1515</v>
      </c>
      <c r="E58" s="4" t="s">
        <v>22</v>
      </c>
      <c r="F58" s="7">
        <v>32694.35</v>
      </c>
      <c r="H58" s="22" t="str">
        <f t="shared" si="1"/>
        <v>Mampostería de cimientos Mampostería de 30</v>
      </c>
      <c r="I58" s="23">
        <f t="shared" si="3"/>
        <v>32694.35</v>
      </c>
    </row>
    <row r="59" ht="15.0" customHeight="1">
      <c r="A59" s="8">
        <v>297.0</v>
      </c>
      <c r="B59" s="9" t="s">
        <v>1513</v>
      </c>
      <c r="C59" s="10" t="s">
        <v>1520</v>
      </c>
      <c r="D59" s="10"/>
      <c r="E59" s="8" t="s">
        <v>22</v>
      </c>
      <c r="F59" s="11">
        <v>32694.35</v>
      </c>
      <c r="H59" s="22" t="str">
        <f t="shared" si="1"/>
        <v>Mampostería de cimientos Mampostería de 30 (con cemento de albañilería)</v>
      </c>
      <c r="I59" s="23">
        <f t="shared" si="3"/>
        <v>32694.35</v>
      </c>
    </row>
    <row r="60" ht="15.0" customHeight="1">
      <c r="A60" s="4">
        <v>23.0</v>
      </c>
      <c r="B60" s="5" t="s">
        <v>1521</v>
      </c>
      <c r="C60" s="6" t="s">
        <v>1522</v>
      </c>
      <c r="D60" s="6" t="s">
        <v>1523</v>
      </c>
      <c r="E60" s="4" t="s">
        <v>22</v>
      </c>
      <c r="F60" s="7">
        <v>14468.45</v>
      </c>
      <c r="H60" s="22" t="str">
        <f t="shared" si="1"/>
        <v>Capas aisladoras Horizontal (Espesor 2cm)</v>
      </c>
      <c r="I60" s="23">
        <f t="shared" si="3"/>
        <v>14468.45</v>
      </c>
    </row>
    <row r="61" ht="15.0" customHeight="1">
      <c r="A61" s="8">
        <v>24.0</v>
      </c>
      <c r="B61" s="9" t="s">
        <v>1521</v>
      </c>
      <c r="C61" s="10" t="s">
        <v>1524</v>
      </c>
      <c r="D61" s="10" t="s">
        <v>1523</v>
      </c>
      <c r="E61" s="8" t="s">
        <v>22</v>
      </c>
      <c r="F61" s="11">
        <v>12918.28</v>
      </c>
      <c r="H61" s="22" t="str">
        <f t="shared" si="1"/>
        <v>Capas aisladoras Vertical azotado (Espesor 0.5cm)</v>
      </c>
      <c r="I61" s="23">
        <f t="shared" si="3"/>
        <v>12918.28</v>
      </c>
    </row>
    <row r="62" ht="15.0" customHeight="1">
      <c r="A62" s="4">
        <v>32.0</v>
      </c>
      <c r="B62" s="5" t="s">
        <v>1525</v>
      </c>
      <c r="C62" s="6" t="s">
        <v>1526</v>
      </c>
      <c r="D62" s="6"/>
      <c r="E62" s="4" t="s">
        <v>22</v>
      </c>
      <c r="F62" s="7">
        <v>16727.31</v>
      </c>
      <c r="H62" s="22" t="str">
        <f t="shared" si="1"/>
        <v>Mampostería de elevación con cemento tradicional Bloque Hormigón Liso 09x19x39</v>
      </c>
      <c r="I62" s="23">
        <f t="shared" si="3"/>
        <v>16727.31</v>
      </c>
    </row>
    <row r="63" ht="15.0" customHeight="1">
      <c r="A63" s="8">
        <v>33.0</v>
      </c>
      <c r="B63" s="9" t="s">
        <v>1525</v>
      </c>
      <c r="C63" s="10" t="s">
        <v>1527</v>
      </c>
      <c r="D63" s="10"/>
      <c r="E63" s="8" t="s">
        <v>22</v>
      </c>
      <c r="F63" s="11">
        <v>22809.94</v>
      </c>
      <c r="H63" s="22" t="str">
        <f t="shared" si="1"/>
        <v>Mampostería de elevación con cemento tradicional Bloque Hormigón Liso 19x19x39</v>
      </c>
      <c r="I63" s="23">
        <f t="shared" si="3"/>
        <v>22809.94</v>
      </c>
    </row>
    <row r="64" ht="15.0" customHeight="1">
      <c r="A64" s="4">
        <v>184.0</v>
      </c>
      <c r="B64" s="5" t="s">
        <v>1525</v>
      </c>
      <c r="C64" s="6" t="s">
        <v>1528</v>
      </c>
      <c r="D64" s="6"/>
      <c r="E64" s="4" t="s">
        <v>22</v>
      </c>
      <c r="F64" s="7">
        <v>20022.08</v>
      </c>
      <c r="H64" s="22" t="str">
        <f t="shared" si="1"/>
        <v>Mampostería de elevación con cemento tradicional Bloque Hormigón Símil Piedra 12,5x19x39</v>
      </c>
      <c r="I64" s="23">
        <f t="shared" si="3"/>
        <v>20022.08</v>
      </c>
    </row>
    <row r="65" ht="15.0" customHeight="1">
      <c r="A65" s="8">
        <v>185.0</v>
      </c>
      <c r="B65" s="9" t="s">
        <v>1525</v>
      </c>
      <c r="C65" s="10" t="s">
        <v>1529</v>
      </c>
      <c r="D65" s="10"/>
      <c r="E65" s="8" t="s">
        <v>22</v>
      </c>
      <c r="F65" s="11">
        <v>24837.5</v>
      </c>
      <c r="H65" s="22" t="str">
        <f t="shared" si="1"/>
        <v>Mampostería de elevación con cemento tradicional Bloque Hormigón Símil Piedra 19x19x39</v>
      </c>
      <c r="I65" s="23">
        <f t="shared" si="3"/>
        <v>24837.5</v>
      </c>
    </row>
    <row r="66" ht="15.0" customHeight="1">
      <c r="A66" s="4">
        <v>25.0</v>
      </c>
      <c r="B66" s="5" t="s">
        <v>1525</v>
      </c>
      <c r="C66" s="6" t="s">
        <v>1530</v>
      </c>
      <c r="D66" s="6"/>
      <c r="E66" s="4" t="s">
        <v>22</v>
      </c>
      <c r="F66" s="7">
        <v>19768.66</v>
      </c>
      <c r="H66" s="22" t="str">
        <f t="shared" si="1"/>
        <v>Mampostería de elevación con cemento tradicional Ladrillo común de 15</v>
      </c>
      <c r="I66" s="23">
        <f t="shared" si="3"/>
        <v>19768.66</v>
      </c>
    </row>
    <row r="67" ht="15.0" customHeight="1">
      <c r="A67" s="8">
        <v>213.0</v>
      </c>
      <c r="B67" s="9" t="s">
        <v>1525</v>
      </c>
      <c r="C67" s="10" t="s">
        <v>1531</v>
      </c>
      <c r="D67" s="10"/>
      <c r="E67" s="8" t="s">
        <v>22</v>
      </c>
      <c r="F67" s="11">
        <v>24330.63</v>
      </c>
      <c r="H67" s="22" t="str">
        <f t="shared" si="1"/>
        <v>Mampostería de elevación con cemento tradicional Ladrillo común de 20</v>
      </c>
      <c r="I67" s="23">
        <f t="shared" si="3"/>
        <v>24330.63</v>
      </c>
    </row>
    <row r="68" ht="15.0" customHeight="1">
      <c r="A68" s="4">
        <v>26.0</v>
      </c>
      <c r="B68" s="5" t="s">
        <v>1525</v>
      </c>
      <c r="C68" s="6" t="s">
        <v>1532</v>
      </c>
      <c r="D68" s="6"/>
      <c r="E68" s="4" t="s">
        <v>22</v>
      </c>
      <c r="F68" s="7">
        <v>32694.35</v>
      </c>
      <c r="H68" s="22" t="str">
        <f t="shared" si="1"/>
        <v>Mampostería de elevación con cemento tradicional Ladrillo común de 30</v>
      </c>
      <c r="I68" s="23">
        <f t="shared" si="3"/>
        <v>32694.35</v>
      </c>
    </row>
    <row r="69" ht="15.0" customHeight="1">
      <c r="A69" s="8">
        <v>58.0</v>
      </c>
      <c r="B69" s="9" t="s">
        <v>1525</v>
      </c>
      <c r="C69" s="10" t="s">
        <v>1533</v>
      </c>
      <c r="D69" s="10" t="s">
        <v>1534</v>
      </c>
      <c r="E69" s="8" t="s">
        <v>22</v>
      </c>
      <c r="F69" s="11">
        <v>29146.05</v>
      </c>
      <c r="H69" s="22" t="str">
        <f t="shared" si="1"/>
        <v>Mampostería de elevación con cemento tradicional Ladrillo común visto de 15cm</v>
      </c>
      <c r="I69" s="23">
        <f t="shared" si="3"/>
        <v>29146.05</v>
      </c>
    </row>
    <row r="70" ht="15.0" customHeight="1">
      <c r="A70" s="4">
        <v>30.0</v>
      </c>
      <c r="B70" s="5" t="s">
        <v>1525</v>
      </c>
      <c r="C70" s="6" t="s">
        <v>1535</v>
      </c>
      <c r="D70" s="6"/>
      <c r="E70" s="4" t="s">
        <v>22</v>
      </c>
      <c r="F70" s="7">
        <v>21796.2</v>
      </c>
      <c r="H70" s="22" t="str">
        <f t="shared" si="1"/>
        <v>Mampostería de elevación con cemento tradicional Ladrillo portante 12x19x33</v>
      </c>
      <c r="I70" s="23">
        <f t="shared" si="3"/>
        <v>21796.2</v>
      </c>
    </row>
    <row r="71" ht="15.0" customHeight="1">
      <c r="A71" s="8">
        <v>31.0</v>
      </c>
      <c r="B71" s="9" t="s">
        <v>1525</v>
      </c>
      <c r="C71" s="10" t="s">
        <v>1536</v>
      </c>
      <c r="D71" s="10"/>
      <c r="E71" s="8" t="s">
        <v>22</v>
      </c>
      <c r="F71" s="11">
        <v>23823.73</v>
      </c>
      <c r="H71" s="22" t="str">
        <f t="shared" si="1"/>
        <v>Mampostería de elevación con cemento tradicional Ladrillo portante 18x19x33</v>
      </c>
      <c r="I71" s="23">
        <f t="shared" si="3"/>
        <v>23823.73</v>
      </c>
    </row>
    <row r="72" ht="15.0" customHeight="1">
      <c r="A72" s="4">
        <v>27.0</v>
      </c>
      <c r="B72" s="5" t="s">
        <v>1525</v>
      </c>
      <c r="C72" s="6" t="s">
        <v>1537</v>
      </c>
      <c r="D72" s="6"/>
      <c r="E72" s="4" t="s">
        <v>22</v>
      </c>
      <c r="F72" s="7">
        <v>14953.21</v>
      </c>
      <c r="H72" s="22" t="str">
        <f t="shared" si="1"/>
        <v>Mampostería de elevación con cemento tradicional Ladrillos huecos 08x18x33</v>
      </c>
      <c r="I72" s="23">
        <f t="shared" si="3"/>
        <v>14953.21</v>
      </c>
    </row>
    <row r="73" ht="15.0" customHeight="1">
      <c r="A73" s="8">
        <v>28.0</v>
      </c>
      <c r="B73" s="9" t="s">
        <v>1525</v>
      </c>
      <c r="C73" s="10" t="s">
        <v>1538</v>
      </c>
      <c r="D73" s="10"/>
      <c r="E73" s="8" t="s">
        <v>22</v>
      </c>
      <c r="F73" s="11">
        <v>18247.95</v>
      </c>
      <c r="H73" s="22" t="str">
        <f t="shared" si="1"/>
        <v>Mampostería de elevación con cemento tradicional Ladrillos huecos 12x18x33</v>
      </c>
      <c r="I73" s="23">
        <f t="shared" si="3"/>
        <v>18247.95</v>
      </c>
    </row>
    <row r="74" ht="15.0" customHeight="1">
      <c r="A74" s="4">
        <v>29.0</v>
      </c>
      <c r="B74" s="5" t="s">
        <v>1525</v>
      </c>
      <c r="C74" s="6" t="s">
        <v>1539</v>
      </c>
      <c r="D74" s="6"/>
      <c r="E74" s="4" t="s">
        <v>22</v>
      </c>
      <c r="F74" s="7">
        <v>21542.73</v>
      </c>
      <c r="H74" s="22" t="str">
        <f t="shared" si="1"/>
        <v>Mampostería de elevación con cemento tradicional Ladrillos huecos 18x18x33</v>
      </c>
      <c r="I74" s="23">
        <f t="shared" si="3"/>
        <v>21542.73</v>
      </c>
    </row>
    <row r="75" ht="15.0" customHeight="1">
      <c r="A75" s="8">
        <v>266.0</v>
      </c>
      <c r="B75" s="9" t="s">
        <v>1525</v>
      </c>
      <c r="C75" s="10" t="s">
        <v>1540</v>
      </c>
      <c r="D75" s="10" t="s">
        <v>1541</v>
      </c>
      <c r="E75" s="8" t="s">
        <v>76</v>
      </c>
      <c r="F75" s="11">
        <v>16473.86</v>
      </c>
      <c r="H75" s="22" t="str">
        <f t="shared" si="1"/>
        <v>Mampostería de elevación con cemento tradicional Ladrillos huecos para encadenados 12x18x33</v>
      </c>
      <c r="I75" s="23">
        <f t="shared" si="3"/>
        <v>16473.86</v>
      </c>
    </row>
    <row r="76" ht="15.0" customHeight="1">
      <c r="A76" s="4">
        <v>267.0</v>
      </c>
      <c r="B76" s="5" t="s">
        <v>1525</v>
      </c>
      <c r="C76" s="6" t="s">
        <v>1542</v>
      </c>
      <c r="D76" s="6" t="s">
        <v>1541</v>
      </c>
      <c r="E76" s="4" t="s">
        <v>76</v>
      </c>
      <c r="F76" s="7">
        <v>17741.09</v>
      </c>
      <c r="H76" s="22" t="str">
        <f t="shared" si="1"/>
        <v>Mampostería de elevación con cemento tradicional Ladrillos huecos para encadenados 18x18x33</v>
      </c>
      <c r="I76" s="23">
        <f t="shared" si="3"/>
        <v>17741.09</v>
      </c>
    </row>
    <row r="77" ht="15.0" customHeight="1">
      <c r="A77" s="8">
        <v>239.0</v>
      </c>
      <c r="B77" s="9" t="s">
        <v>1525</v>
      </c>
      <c r="C77" s="10" t="s">
        <v>1543</v>
      </c>
      <c r="D77" s="10"/>
      <c r="E77" s="8" t="s">
        <v>22</v>
      </c>
      <c r="F77" s="11">
        <v>12418.77</v>
      </c>
      <c r="H77" s="22" t="str">
        <f t="shared" si="1"/>
        <v>Mampostería de elevación con cemento tradicional Tomado de juntas</v>
      </c>
      <c r="I77" s="23">
        <f t="shared" si="3"/>
        <v>12418.77</v>
      </c>
    </row>
    <row r="78" ht="15.0" customHeight="1">
      <c r="A78" s="4">
        <v>309.0</v>
      </c>
      <c r="B78" s="5" t="s">
        <v>1544</v>
      </c>
      <c r="C78" s="6" t="s">
        <v>1526</v>
      </c>
      <c r="D78" s="6" t="s">
        <v>1545</v>
      </c>
      <c r="E78" s="4" t="s">
        <v>22</v>
      </c>
      <c r="F78" s="7">
        <v>16727.31</v>
      </c>
      <c r="H78" s="22" t="str">
        <f t="shared" si="1"/>
        <v>Mampostería de elevación con cemento de albañilería Bloque Hormigón Liso 09x19x39</v>
      </c>
      <c r="I78" s="23">
        <f t="shared" si="3"/>
        <v>16727.31</v>
      </c>
    </row>
    <row r="79" ht="15.0" customHeight="1">
      <c r="A79" s="8">
        <v>310.0</v>
      </c>
      <c r="B79" s="9" t="s">
        <v>1544</v>
      </c>
      <c r="C79" s="10" t="s">
        <v>1527</v>
      </c>
      <c r="D79" s="10" t="s">
        <v>1545</v>
      </c>
      <c r="E79" s="8" t="s">
        <v>22</v>
      </c>
      <c r="F79" s="11">
        <v>22809.94</v>
      </c>
      <c r="H79" s="22" t="str">
        <f t="shared" si="1"/>
        <v>Mampostería de elevación con cemento de albañilería Bloque Hormigón Liso 19x19x39</v>
      </c>
      <c r="I79" s="23">
        <f t="shared" si="3"/>
        <v>22809.94</v>
      </c>
    </row>
    <row r="80" ht="15.0" customHeight="1">
      <c r="A80" s="4">
        <v>307.0</v>
      </c>
      <c r="B80" s="5" t="s">
        <v>1544</v>
      </c>
      <c r="C80" s="6" t="s">
        <v>1528</v>
      </c>
      <c r="D80" s="6" t="s">
        <v>1545</v>
      </c>
      <c r="E80" s="4" t="s">
        <v>22</v>
      </c>
      <c r="F80" s="7">
        <v>20022.08</v>
      </c>
      <c r="H80" s="22" t="str">
        <f t="shared" si="1"/>
        <v>Mampostería de elevación con cemento de albañilería Bloque Hormigón Símil Piedra 12,5x19x39</v>
      </c>
      <c r="I80" s="23">
        <f t="shared" si="3"/>
        <v>20022.08</v>
      </c>
    </row>
    <row r="81" ht="15.0" customHeight="1">
      <c r="A81" s="8">
        <v>308.0</v>
      </c>
      <c r="B81" s="9" t="s">
        <v>1544</v>
      </c>
      <c r="C81" s="10" t="s">
        <v>1529</v>
      </c>
      <c r="D81" s="10" t="s">
        <v>1545</v>
      </c>
      <c r="E81" s="8" t="s">
        <v>22</v>
      </c>
      <c r="F81" s="11">
        <v>24837.5</v>
      </c>
      <c r="H81" s="22" t="str">
        <f t="shared" si="1"/>
        <v>Mampostería de elevación con cemento de albañilería Bloque Hormigón Símil Piedra 19x19x39</v>
      </c>
      <c r="I81" s="23">
        <f t="shared" si="3"/>
        <v>24837.5</v>
      </c>
    </row>
    <row r="82" ht="15.0" customHeight="1">
      <c r="A82" s="4">
        <v>298.0</v>
      </c>
      <c r="B82" s="5" t="s">
        <v>1544</v>
      </c>
      <c r="C82" s="6" t="s">
        <v>1530</v>
      </c>
      <c r="D82" s="6" t="s">
        <v>1545</v>
      </c>
      <c r="E82" s="4" t="s">
        <v>22</v>
      </c>
      <c r="F82" s="7">
        <v>19768.66</v>
      </c>
      <c r="H82" s="22" t="str">
        <f t="shared" si="1"/>
        <v>Mampostería de elevación con cemento de albañilería Ladrillo común de 15</v>
      </c>
      <c r="I82" s="23">
        <f t="shared" si="3"/>
        <v>19768.66</v>
      </c>
    </row>
    <row r="83" ht="15.0" customHeight="1">
      <c r="A83" s="8">
        <v>299.0</v>
      </c>
      <c r="B83" s="9" t="s">
        <v>1544</v>
      </c>
      <c r="C83" s="10" t="s">
        <v>1531</v>
      </c>
      <c r="D83" s="10" t="s">
        <v>1545</v>
      </c>
      <c r="E83" s="8" t="s">
        <v>22</v>
      </c>
      <c r="F83" s="11">
        <v>24330.63</v>
      </c>
      <c r="H83" s="22" t="str">
        <f t="shared" si="1"/>
        <v>Mampostería de elevación con cemento de albañilería Ladrillo común de 20</v>
      </c>
      <c r="I83" s="23">
        <f t="shared" si="3"/>
        <v>24330.63</v>
      </c>
    </row>
    <row r="84" ht="15.0" customHeight="1">
      <c r="A84" s="4">
        <v>300.0</v>
      </c>
      <c r="B84" s="5" t="s">
        <v>1544</v>
      </c>
      <c r="C84" s="6" t="s">
        <v>1532</v>
      </c>
      <c r="D84" s="6" t="s">
        <v>1545</v>
      </c>
      <c r="E84" s="4" t="s">
        <v>22</v>
      </c>
      <c r="F84" s="7">
        <v>32694.35</v>
      </c>
      <c r="H84" s="22" t="str">
        <f t="shared" si="1"/>
        <v>Mampostería de elevación con cemento de albañilería Ladrillo común de 30</v>
      </c>
      <c r="I84" s="23">
        <f t="shared" si="3"/>
        <v>32694.35</v>
      </c>
    </row>
    <row r="85" ht="15.0" customHeight="1">
      <c r="A85" s="8">
        <v>301.0</v>
      </c>
      <c r="B85" s="9" t="s">
        <v>1544</v>
      </c>
      <c r="C85" s="10" t="s">
        <v>1533</v>
      </c>
      <c r="D85" s="10" t="s">
        <v>1545</v>
      </c>
      <c r="E85" s="8" t="s">
        <v>22</v>
      </c>
      <c r="F85" s="11">
        <v>29146.05</v>
      </c>
      <c r="H85" s="22" t="str">
        <f t="shared" si="1"/>
        <v>Mampostería de elevación con cemento de albañilería Ladrillo común visto de 15cm</v>
      </c>
      <c r="I85" s="23">
        <f t="shared" si="3"/>
        <v>29146.05</v>
      </c>
    </row>
    <row r="86" ht="15.0" customHeight="1">
      <c r="A86" s="4">
        <v>302.0</v>
      </c>
      <c r="B86" s="5" t="s">
        <v>1544</v>
      </c>
      <c r="C86" s="6" t="s">
        <v>1546</v>
      </c>
      <c r="D86" s="6" t="s">
        <v>1545</v>
      </c>
      <c r="E86" s="4" t="s">
        <v>22</v>
      </c>
      <c r="F86" s="7">
        <v>21796.2</v>
      </c>
      <c r="H86" s="22" t="str">
        <f t="shared" si="1"/>
        <v>Mampostería de elevación con cemento de albañilería Ladrillo portante 12x19x39</v>
      </c>
      <c r="I86" s="23">
        <f t="shared" si="3"/>
        <v>21796.2</v>
      </c>
    </row>
    <row r="87" ht="15.0" customHeight="1">
      <c r="A87" s="8">
        <v>303.0</v>
      </c>
      <c r="B87" s="9" t="s">
        <v>1544</v>
      </c>
      <c r="C87" s="10" t="s">
        <v>1547</v>
      </c>
      <c r="D87" s="10" t="s">
        <v>1545</v>
      </c>
      <c r="E87" s="8" t="s">
        <v>22</v>
      </c>
      <c r="F87" s="11">
        <v>23823.73</v>
      </c>
      <c r="H87" s="22" t="str">
        <f t="shared" si="1"/>
        <v>Mampostería de elevación con cemento de albañilería Ladrillo portante 18x19x39</v>
      </c>
      <c r="I87" s="23">
        <f t="shared" si="3"/>
        <v>23823.73</v>
      </c>
    </row>
    <row r="88" ht="15.0" customHeight="1">
      <c r="A88" s="4">
        <v>304.0</v>
      </c>
      <c r="B88" s="5" t="s">
        <v>1544</v>
      </c>
      <c r="C88" s="6" t="s">
        <v>1537</v>
      </c>
      <c r="D88" s="6" t="s">
        <v>1545</v>
      </c>
      <c r="E88" s="4" t="s">
        <v>22</v>
      </c>
      <c r="F88" s="7">
        <v>14953.21</v>
      </c>
      <c r="H88" s="22" t="str">
        <f t="shared" si="1"/>
        <v>Mampostería de elevación con cemento de albañilería Ladrillos huecos 08x18x33</v>
      </c>
      <c r="I88" s="23">
        <f t="shared" si="3"/>
        <v>14953.21</v>
      </c>
    </row>
    <row r="89" ht="15.0" customHeight="1">
      <c r="A89" s="8">
        <v>305.0</v>
      </c>
      <c r="B89" s="9" t="s">
        <v>1544</v>
      </c>
      <c r="C89" s="10" t="s">
        <v>1538</v>
      </c>
      <c r="D89" s="10" t="s">
        <v>1545</v>
      </c>
      <c r="E89" s="8" t="s">
        <v>22</v>
      </c>
      <c r="F89" s="11">
        <v>18247.95</v>
      </c>
      <c r="H89" s="22" t="str">
        <f t="shared" si="1"/>
        <v>Mampostería de elevación con cemento de albañilería Ladrillos huecos 12x18x33</v>
      </c>
      <c r="I89" s="23">
        <f t="shared" si="3"/>
        <v>18247.95</v>
      </c>
    </row>
    <row r="90" ht="15.0" customHeight="1">
      <c r="A90" s="4">
        <v>306.0</v>
      </c>
      <c r="B90" s="5" t="s">
        <v>1544</v>
      </c>
      <c r="C90" s="6" t="s">
        <v>1539</v>
      </c>
      <c r="D90" s="6" t="s">
        <v>1545</v>
      </c>
      <c r="E90" s="4" t="s">
        <v>22</v>
      </c>
      <c r="F90" s="7">
        <v>21542.73</v>
      </c>
      <c r="H90" s="22" t="str">
        <f t="shared" si="1"/>
        <v>Mampostería de elevación con cemento de albañilería Ladrillos huecos 18x18x33</v>
      </c>
      <c r="I90" s="23">
        <f t="shared" si="3"/>
        <v>21542.73</v>
      </c>
    </row>
    <row r="91" ht="15.0" customHeight="1">
      <c r="A91" s="8">
        <v>202.0</v>
      </c>
      <c r="B91" s="9" t="s">
        <v>1548</v>
      </c>
      <c r="C91" s="10" t="s">
        <v>1549</v>
      </c>
      <c r="D91" s="10" t="s">
        <v>1550</v>
      </c>
      <c r="E91" s="8" t="s">
        <v>76</v>
      </c>
      <c r="F91" s="11">
        <v>12165.32</v>
      </c>
      <c r="H91" s="22" t="str">
        <f t="shared" si="1"/>
        <v>Mampostería de elevación con Retak Ladrillo RETAK ¨U¨ Refuerzo Vertical y/o Horizontal 50x25x15cm.</v>
      </c>
      <c r="I91" s="23">
        <f t="shared" si="3"/>
        <v>12165.32</v>
      </c>
    </row>
    <row r="92" ht="15.0" customHeight="1">
      <c r="A92" s="4">
        <v>203.0</v>
      </c>
      <c r="B92" s="5" t="s">
        <v>1548</v>
      </c>
      <c r="C92" s="6" t="s">
        <v>1551</v>
      </c>
      <c r="D92" s="6" t="s">
        <v>1550</v>
      </c>
      <c r="E92" s="4" t="s">
        <v>76</v>
      </c>
      <c r="F92" s="7">
        <v>12165.32</v>
      </c>
      <c r="H92" s="22" t="str">
        <f t="shared" si="1"/>
        <v>Mampostería de elevación con Retak Ladrillo RETAK ¨U¨ Refuerzo Vertical y/o Horizontal 50x25x17,5cm.</v>
      </c>
      <c r="I92" s="23">
        <f t="shared" si="3"/>
        <v>12165.32</v>
      </c>
    </row>
    <row r="93" ht="15.0" customHeight="1">
      <c r="A93" s="8">
        <v>204.0</v>
      </c>
      <c r="B93" s="9" t="s">
        <v>1548</v>
      </c>
      <c r="C93" s="10" t="s">
        <v>1552</v>
      </c>
      <c r="D93" s="10" t="s">
        <v>1550</v>
      </c>
      <c r="E93" s="8" t="s">
        <v>76</v>
      </c>
      <c r="F93" s="11">
        <v>12165.32</v>
      </c>
      <c r="H93" s="22" t="str">
        <f t="shared" si="1"/>
        <v>Mampostería de elevación con Retak Ladrillo RETAK ¨U¨ Refuerzo Vertical y/o Horizontal 50x25x20cm.</v>
      </c>
      <c r="I93" s="23">
        <f t="shared" si="3"/>
        <v>12165.32</v>
      </c>
    </row>
    <row r="94" ht="15.0" customHeight="1">
      <c r="A94" s="4">
        <v>195.0</v>
      </c>
      <c r="B94" s="5" t="s">
        <v>1548</v>
      </c>
      <c r="C94" s="6" t="s">
        <v>1553</v>
      </c>
      <c r="D94" s="6"/>
      <c r="E94" s="4" t="s">
        <v>22</v>
      </c>
      <c r="F94" s="7">
        <v>13432.54</v>
      </c>
      <c r="H94" s="22" t="str">
        <f t="shared" si="1"/>
        <v>Mampostería de elevación con Retak Ladrillo RETAK 50x25x07,5cm. (No portante)</v>
      </c>
      <c r="I94" s="23">
        <f t="shared" si="3"/>
        <v>13432.54</v>
      </c>
    </row>
    <row r="95" ht="15.0" customHeight="1">
      <c r="A95" s="8">
        <v>196.0</v>
      </c>
      <c r="B95" s="9" t="s">
        <v>1548</v>
      </c>
      <c r="C95" s="10" t="s">
        <v>1554</v>
      </c>
      <c r="D95" s="10"/>
      <c r="E95" s="8" t="s">
        <v>22</v>
      </c>
      <c r="F95" s="11">
        <v>14699.74</v>
      </c>
      <c r="H95" s="22" t="str">
        <f t="shared" si="1"/>
        <v>Mampostería de elevación con Retak Ladrillo RETAK 50x25x10cm. (No portante)</v>
      </c>
      <c r="I95" s="23">
        <f t="shared" si="3"/>
        <v>14699.74</v>
      </c>
    </row>
    <row r="96" ht="15.0" customHeight="1">
      <c r="A96" s="4">
        <v>197.0</v>
      </c>
      <c r="B96" s="5" t="s">
        <v>1548</v>
      </c>
      <c r="C96" s="6" t="s">
        <v>1555</v>
      </c>
      <c r="D96" s="6"/>
      <c r="E96" s="4" t="s">
        <v>22</v>
      </c>
      <c r="F96" s="7">
        <v>16727.31</v>
      </c>
      <c r="H96" s="22" t="str">
        <f t="shared" si="1"/>
        <v>Mampostería de elevación con Retak Ladrillo RETAK 50x25x12,5cm. (No portante)</v>
      </c>
      <c r="I96" s="23">
        <f t="shared" si="3"/>
        <v>16727.31</v>
      </c>
    </row>
    <row r="97" ht="15.0" customHeight="1">
      <c r="A97" s="8">
        <v>198.0</v>
      </c>
      <c r="B97" s="9" t="s">
        <v>1548</v>
      </c>
      <c r="C97" s="10" t="s">
        <v>1148</v>
      </c>
      <c r="D97" s="10"/>
      <c r="E97" s="8" t="s">
        <v>22</v>
      </c>
      <c r="F97" s="11">
        <v>17994.5</v>
      </c>
      <c r="H97" s="22" t="str">
        <f t="shared" si="1"/>
        <v>Mampostería de elevación con Retak Ladrillo RETAK 50x25x15cm. (Portante)</v>
      </c>
      <c r="I97" s="23">
        <f t="shared" si="3"/>
        <v>17994.5</v>
      </c>
    </row>
    <row r="98" ht="15.0" customHeight="1">
      <c r="A98" s="4">
        <v>199.0</v>
      </c>
      <c r="B98" s="5" t="s">
        <v>1548</v>
      </c>
      <c r="C98" s="6" t="s">
        <v>1149</v>
      </c>
      <c r="D98" s="6"/>
      <c r="E98" s="4" t="s">
        <v>22</v>
      </c>
      <c r="F98" s="7">
        <v>20022.08</v>
      </c>
      <c r="H98" s="22" t="str">
        <f t="shared" si="1"/>
        <v>Mampostería de elevación con Retak Ladrillo RETAK 50x25x17,5cm. (Portante)</v>
      </c>
      <c r="I98" s="23">
        <f t="shared" si="3"/>
        <v>20022.08</v>
      </c>
    </row>
    <row r="99" ht="15.0" customHeight="1">
      <c r="A99" s="8">
        <v>200.0</v>
      </c>
      <c r="B99" s="9" t="s">
        <v>1548</v>
      </c>
      <c r="C99" s="10" t="s">
        <v>1150</v>
      </c>
      <c r="D99" s="10"/>
      <c r="E99" s="8" t="s">
        <v>22</v>
      </c>
      <c r="F99" s="11">
        <v>21542.73</v>
      </c>
      <c r="H99" s="22" t="str">
        <f t="shared" si="1"/>
        <v>Mampostería de elevación con Retak Ladrillo RETAK 50x25x20cm. (Portante)</v>
      </c>
      <c r="I99" s="23">
        <f t="shared" si="3"/>
        <v>21542.73</v>
      </c>
    </row>
    <row r="100" ht="15.0" customHeight="1">
      <c r="A100" s="4">
        <v>201.0</v>
      </c>
      <c r="B100" s="5" t="s">
        <v>1548</v>
      </c>
      <c r="C100" s="6" t="s">
        <v>1151</v>
      </c>
      <c r="D100" s="6"/>
      <c r="E100" s="4" t="s">
        <v>22</v>
      </c>
      <c r="F100" s="7">
        <v>23316.83</v>
      </c>
      <c r="H100" s="22" t="str">
        <f t="shared" si="1"/>
        <v>Mampostería de elevación con Retak Ladrillo RETAK 50x25x25cm. (Portante)</v>
      </c>
      <c r="I100" s="23">
        <f t="shared" si="3"/>
        <v>23316.83</v>
      </c>
    </row>
    <row r="101" ht="15.0" customHeight="1">
      <c r="A101" s="8">
        <v>427.0</v>
      </c>
      <c r="B101" s="9" t="s">
        <v>1556</v>
      </c>
      <c r="C101" s="10" t="s">
        <v>1557</v>
      </c>
      <c r="D101" s="10"/>
      <c r="E101" s="8" t="s">
        <v>22</v>
      </c>
      <c r="F101" s="11">
        <v>14953.55</v>
      </c>
      <c r="H101" s="22" t="str">
        <f t="shared" si="1"/>
        <v>Mampostería de elevación con Rapibrick Ladrillos Huecos 08x18x33</v>
      </c>
      <c r="I101" s="23">
        <f t="shared" si="3"/>
        <v>14953.55</v>
      </c>
    </row>
    <row r="102" ht="15.0" customHeight="1">
      <c r="A102" s="4">
        <v>428.0</v>
      </c>
      <c r="B102" s="5" t="s">
        <v>1556</v>
      </c>
      <c r="C102" s="6" t="s">
        <v>1558</v>
      </c>
      <c r="D102" s="6"/>
      <c r="E102" s="4" t="s">
        <v>22</v>
      </c>
      <c r="F102" s="7">
        <v>18247.86</v>
      </c>
      <c r="H102" s="22" t="str">
        <f t="shared" si="1"/>
        <v>Mampostería de elevación con Rapibrick Ladrillos Huecos 12x18x33</v>
      </c>
      <c r="I102" s="23">
        <f t="shared" si="3"/>
        <v>18247.86</v>
      </c>
    </row>
    <row r="103" ht="15.0" customHeight="1">
      <c r="A103" s="8">
        <v>429.0</v>
      </c>
      <c r="B103" s="9" t="s">
        <v>1556</v>
      </c>
      <c r="C103" s="10" t="s">
        <v>1559</v>
      </c>
      <c r="D103" s="10"/>
      <c r="E103" s="8" t="s">
        <v>22</v>
      </c>
      <c r="F103" s="11">
        <v>21543.32</v>
      </c>
      <c r="H103" s="22" t="str">
        <f t="shared" si="1"/>
        <v>Mampostería de elevación con Rapibrick Ladrillos Huecos 18x18x33</v>
      </c>
      <c r="I103" s="23">
        <f t="shared" si="3"/>
        <v>21543.32</v>
      </c>
    </row>
    <row r="104" ht="15.0" customHeight="1">
      <c r="A104" s="4">
        <v>440.0</v>
      </c>
      <c r="B104" s="5" t="s">
        <v>1560</v>
      </c>
      <c r="C104" s="6" t="s">
        <v>1561</v>
      </c>
      <c r="D104" s="6" t="s">
        <v>1562</v>
      </c>
      <c r="E104" s="4" t="s">
        <v>5</v>
      </c>
      <c r="F104" s="7">
        <v>511495.53</v>
      </c>
      <c r="H104" s="22" t="str">
        <f t="shared" si="1"/>
        <v>Estructuras de hormigón armado Base, Columna y Plataforma de H°A° para Tanque de Agua Elevado</v>
      </c>
      <c r="I104" s="23">
        <f t="shared" si="3"/>
        <v>511495.53</v>
      </c>
    </row>
    <row r="105" ht="15.0" customHeight="1">
      <c r="A105" s="8">
        <v>434.0</v>
      </c>
      <c r="B105" s="9" t="s">
        <v>1560</v>
      </c>
      <c r="C105" s="10" t="s">
        <v>1563</v>
      </c>
      <c r="D105" s="10" t="s">
        <v>1564</v>
      </c>
      <c r="E105" s="8" t="s">
        <v>76</v>
      </c>
      <c r="F105" s="11">
        <v>23030.95</v>
      </c>
      <c r="H105" s="22" t="str">
        <f t="shared" si="1"/>
        <v>Estructuras de hormigón armado Columna H°A° 15x20 (Hierro 10mm)</v>
      </c>
      <c r="I105" s="23">
        <f t="shared" si="3"/>
        <v>23030.95</v>
      </c>
    </row>
    <row r="106" ht="15.0" customHeight="1">
      <c r="A106" s="4">
        <v>262.0</v>
      </c>
      <c r="B106" s="5" t="s">
        <v>1560</v>
      </c>
      <c r="C106" s="6" t="s">
        <v>1565</v>
      </c>
      <c r="D106" s="6" t="s">
        <v>1566</v>
      </c>
      <c r="E106" s="4" t="s">
        <v>76</v>
      </c>
      <c r="F106" s="7">
        <v>23031.41</v>
      </c>
      <c r="H106" s="22" t="str">
        <f t="shared" si="1"/>
        <v>Estructuras de hormigón armado Columna H°A° 15x20 (Hierro 8mm)</v>
      </c>
      <c r="I106" s="23">
        <f t="shared" si="3"/>
        <v>23031.41</v>
      </c>
    </row>
    <row r="107" ht="15.0" customHeight="1">
      <c r="A107" s="8">
        <v>435.0</v>
      </c>
      <c r="B107" s="9" t="s">
        <v>1560</v>
      </c>
      <c r="C107" s="10" t="s">
        <v>1567</v>
      </c>
      <c r="D107" s="10" t="s">
        <v>1568</v>
      </c>
      <c r="E107" s="8" t="s">
        <v>76</v>
      </c>
      <c r="F107" s="11">
        <v>23756.13</v>
      </c>
      <c r="H107" s="22" t="str">
        <f t="shared" si="1"/>
        <v>Estructuras de hormigón armado Columna H°A° 15x25 (Hierro 10mm)</v>
      </c>
      <c r="I107" s="23">
        <f t="shared" si="3"/>
        <v>23756.13</v>
      </c>
    </row>
    <row r="108" ht="15.0" customHeight="1">
      <c r="A108" s="4">
        <v>261.0</v>
      </c>
      <c r="B108" s="5" t="s">
        <v>1560</v>
      </c>
      <c r="C108" s="6" t="s">
        <v>1569</v>
      </c>
      <c r="D108" s="6" t="s">
        <v>1566</v>
      </c>
      <c r="E108" s="4" t="s">
        <v>76</v>
      </c>
      <c r="F108" s="7">
        <v>24310.97</v>
      </c>
      <c r="H108" s="22" t="str">
        <f t="shared" si="1"/>
        <v>Estructuras de hormigón armado Columna H°A° 20x20 (Hierro 8mm)</v>
      </c>
      <c r="I108" s="23">
        <f t="shared" si="3"/>
        <v>24310.97</v>
      </c>
    </row>
    <row r="109" ht="15.0" customHeight="1">
      <c r="A109" s="8">
        <v>37.0</v>
      </c>
      <c r="B109" s="9" t="s">
        <v>1560</v>
      </c>
      <c r="C109" s="10" t="s">
        <v>1570</v>
      </c>
      <c r="D109" s="10" t="s">
        <v>1571</v>
      </c>
      <c r="E109" s="8" t="s">
        <v>76</v>
      </c>
      <c r="F109" s="11">
        <v>24310.97</v>
      </c>
      <c r="H109" s="22" t="str">
        <f t="shared" si="1"/>
        <v>Estructuras de hormigón armado Columna HºAº 20x20 (Hierro 10mm)</v>
      </c>
      <c r="I109" s="23">
        <f t="shared" si="3"/>
        <v>24310.97</v>
      </c>
    </row>
    <row r="110" ht="15.0" customHeight="1">
      <c r="A110" s="4">
        <v>38.0</v>
      </c>
      <c r="B110" s="5" t="s">
        <v>1560</v>
      </c>
      <c r="C110" s="6" t="s">
        <v>1572</v>
      </c>
      <c r="D110" s="6" t="s">
        <v>1573</v>
      </c>
      <c r="E110" s="4" t="s">
        <v>76</v>
      </c>
      <c r="F110" s="7">
        <v>24310.97</v>
      </c>
      <c r="H110" s="22" t="str">
        <f t="shared" si="1"/>
        <v>Estructuras de hormigón armado Columna HºAº 20x20 (Hierro 12mm)</v>
      </c>
      <c r="I110" s="23">
        <f t="shared" si="3"/>
        <v>24310.97</v>
      </c>
    </row>
    <row r="111" ht="15.0" customHeight="1">
      <c r="A111" s="8">
        <v>433.0</v>
      </c>
      <c r="B111" s="9" t="s">
        <v>1560</v>
      </c>
      <c r="C111" s="10" t="s">
        <v>1574</v>
      </c>
      <c r="D111" s="10" t="s">
        <v>1575</v>
      </c>
      <c r="E111" s="8" t="s">
        <v>76</v>
      </c>
      <c r="F111" s="11">
        <v>27848.09</v>
      </c>
      <c r="H111" s="22" t="str">
        <f t="shared" si="1"/>
        <v>Estructuras de hormigón armado Columna HºAº 30x30 (Hierro 12mm)</v>
      </c>
      <c r="I111" s="23">
        <f t="shared" si="3"/>
        <v>27848.09</v>
      </c>
    </row>
    <row r="112" ht="15.0" customHeight="1">
      <c r="A112" s="4">
        <v>492.0</v>
      </c>
      <c r="B112" s="5" t="s">
        <v>1560</v>
      </c>
      <c r="C112" s="6" t="s">
        <v>1576</v>
      </c>
      <c r="D112" s="6" t="s">
        <v>1577</v>
      </c>
      <c r="E112" s="4" t="s">
        <v>76</v>
      </c>
      <c r="F112" s="7">
        <v>15453.0</v>
      </c>
      <c r="H112" s="22" t="str">
        <f t="shared" si="1"/>
        <v>Estructuras de hormigón armado Dintel de 1 a 2mts de Luz</v>
      </c>
      <c r="I112" s="23">
        <f t="shared" si="3"/>
        <v>15453</v>
      </c>
    </row>
    <row r="113" ht="15.0" customHeight="1">
      <c r="A113" s="8">
        <v>491.0</v>
      </c>
      <c r="B113" s="9" t="s">
        <v>1560</v>
      </c>
      <c r="C113" s="10" t="s">
        <v>1578</v>
      </c>
      <c r="D113" s="10" t="s">
        <v>1579</v>
      </c>
      <c r="E113" s="8" t="s">
        <v>76</v>
      </c>
      <c r="F113" s="11">
        <v>15453.0</v>
      </c>
      <c r="H113" s="22" t="str">
        <f t="shared" si="1"/>
        <v>Estructuras de hormigón armado Dintel Hasta 1mt de Luz</v>
      </c>
      <c r="I113" s="23">
        <f t="shared" si="3"/>
        <v>15453</v>
      </c>
    </row>
    <row r="114" ht="15.0" customHeight="1">
      <c r="A114" s="4">
        <v>34.0</v>
      </c>
      <c r="B114" s="5" t="s">
        <v>1560</v>
      </c>
      <c r="C114" s="6" t="s">
        <v>1580</v>
      </c>
      <c r="D114" s="6" t="s">
        <v>1581</v>
      </c>
      <c r="E114" s="4" t="s">
        <v>76</v>
      </c>
      <c r="F114" s="7">
        <v>19960.58</v>
      </c>
      <c r="H114" s="22" t="str">
        <f t="shared" si="1"/>
        <v>Estructuras de hormigón armado Encadenado H°A° 15x15</v>
      </c>
      <c r="I114" s="23">
        <f t="shared" si="3"/>
        <v>19960.58</v>
      </c>
    </row>
    <row r="115" ht="15.0" customHeight="1">
      <c r="A115" s="8">
        <v>36.0</v>
      </c>
      <c r="B115" s="9" t="s">
        <v>1560</v>
      </c>
      <c r="C115" s="10" t="s">
        <v>1582</v>
      </c>
      <c r="D115" s="10" t="s">
        <v>1581</v>
      </c>
      <c r="E115" s="8" t="s">
        <v>76</v>
      </c>
      <c r="F115" s="11">
        <v>21496.03</v>
      </c>
      <c r="H115" s="22" t="str">
        <f t="shared" si="1"/>
        <v>Estructuras de hormigón armado Encadenado H°A° 15x20</v>
      </c>
      <c r="I115" s="23">
        <f t="shared" si="3"/>
        <v>21496.03</v>
      </c>
    </row>
    <row r="116" ht="15.0" customHeight="1">
      <c r="A116" s="4">
        <v>436.0</v>
      </c>
      <c r="B116" s="5" t="s">
        <v>1560</v>
      </c>
      <c r="C116" s="6" t="s">
        <v>1583</v>
      </c>
      <c r="D116" s="6" t="s">
        <v>1584</v>
      </c>
      <c r="E116" s="4" t="s">
        <v>76</v>
      </c>
      <c r="F116" s="7">
        <v>22164.8</v>
      </c>
      <c r="H116" s="22" t="str">
        <f t="shared" si="1"/>
        <v>Estructuras de hormigón armado Encadenado H°A° 15x30</v>
      </c>
      <c r="I116" s="23">
        <f t="shared" si="3"/>
        <v>22164.8</v>
      </c>
    </row>
    <row r="117" ht="15.0" customHeight="1">
      <c r="A117" s="8">
        <v>437.0</v>
      </c>
      <c r="B117" s="9" t="s">
        <v>1560</v>
      </c>
      <c r="C117" s="10" t="s">
        <v>1585</v>
      </c>
      <c r="D117" s="10" t="s">
        <v>1586</v>
      </c>
      <c r="E117" s="8" t="s">
        <v>76</v>
      </c>
      <c r="F117" s="11">
        <v>21496.45</v>
      </c>
      <c r="H117" s="22" t="str">
        <f t="shared" si="1"/>
        <v>Estructuras de hormigón armado Encadenado H°A° 20x15</v>
      </c>
      <c r="I117" s="23">
        <f t="shared" si="3"/>
        <v>21496.45</v>
      </c>
    </row>
    <row r="118" ht="15.0" customHeight="1">
      <c r="A118" s="4">
        <v>438.0</v>
      </c>
      <c r="B118" s="5" t="s">
        <v>1560</v>
      </c>
      <c r="C118" s="6" t="s">
        <v>1587</v>
      </c>
      <c r="D118" s="6" t="s">
        <v>1586</v>
      </c>
      <c r="E118" s="4" t="s">
        <v>76</v>
      </c>
      <c r="F118" s="7">
        <v>21823.81</v>
      </c>
      <c r="H118" s="22" t="str">
        <f t="shared" si="1"/>
        <v>Estructuras de hormigón armado Encadenado H°A° 20x20</v>
      </c>
      <c r="I118" s="23">
        <f t="shared" si="3"/>
        <v>21823.81</v>
      </c>
    </row>
    <row r="119" ht="15.0" customHeight="1">
      <c r="A119" s="8">
        <v>439.0</v>
      </c>
      <c r="B119" s="9" t="s">
        <v>1560</v>
      </c>
      <c r="C119" s="10" t="s">
        <v>1588</v>
      </c>
      <c r="D119" s="10" t="s">
        <v>1586</v>
      </c>
      <c r="E119" s="8" t="s">
        <v>76</v>
      </c>
      <c r="F119" s="11">
        <v>22733.14</v>
      </c>
      <c r="H119" s="22" t="str">
        <f t="shared" si="1"/>
        <v>Estructuras de hormigón armado Encadenado H°A° 20x30</v>
      </c>
      <c r="I119" s="23">
        <f t="shared" si="3"/>
        <v>22733.14</v>
      </c>
    </row>
    <row r="120" ht="15.0" customHeight="1">
      <c r="A120" s="4">
        <v>158.0</v>
      </c>
      <c r="B120" s="5" t="s">
        <v>1560</v>
      </c>
      <c r="C120" s="6" t="s">
        <v>1589</v>
      </c>
      <c r="D120" s="6" t="s">
        <v>1590</v>
      </c>
      <c r="E120" s="4" t="s">
        <v>5</v>
      </c>
      <c r="F120" s="7">
        <v>1253933.15</v>
      </c>
      <c r="H120" s="22" t="str">
        <f t="shared" si="1"/>
        <v>Estructuras de hormigón armado Escalera de H°A° (ancho 0.90 mts)</v>
      </c>
      <c r="I120" s="23">
        <f t="shared" si="3"/>
        <v>1253933.15</v>
      </c>
    </row>
    <row r="121" ht="15.0" customHeight="1">
      <c r="A121" s="8">
        <v>46.0</v>
      </c>
      <c r="B121" s="9" t="s">
        <v>1560</v>
      </c>
      <c r="C121" s="10" t="s">
        <v>1591</v>
      </c>
      <c r="D121" s="10" t="s">
        <v>1592</v>
      </c>
      <c r="E121" s="8" t="s">
        <v>22</v>
      </c>
      <c r="F121" s="11">
        <v>56299.03</v>
      </c>
      <c r="H121" s="22" t="str">
        <f t="shared" si="1"/>
        <v>Estructuras de hormigón armado Losa de viguetas con ladrillo de tergopol </v>
      </c>
      <c r="I121" s="23">
        <f t="shared" si="3"/>
        <v>56299.03</v>
      </c>
    </row>
    <row r="122" ht="15.0" customHeight="1">
      <c r="A122" s="4">
        <v>186.0</v>
      </c>
      <c r="B122" s="5" t="s">
        <v>1560</v>
      </c>
      <c r="C122" s="6" t="s">
        <v>1593</v>
      </c>
      <c r="D122" s="6" t="s">
        <v>1594</v>
      </c>
      <c r="E122" s="4" t="s">
        <v>22</v>
      </c>
      <c r="F122" s="7">
        <v>76771.43</v>
      </c>
      <c r="H122" s="22" t="str">
        <f t="shared" si="1"/>
        <v>Estructuras de hormigón armado Losa H°A°, espesor 10cm.</v>
      </c>
      <c r="I122" s="23">
        <f t="shared" si="3"/>
        <v>76771.43</v>
      </c>
    </row>
    <row r="123" ht="15.0" customHeight="1">
      <c r="A123" s="8">
        <v>187.0</v>
      </c>
      <c r="B123" s="9" t="s">
        <v>1560</v>
      </c>
      <c r="C123" s="10" t="s">
        <v>1595</v>
      </c>
      <c r="D123" s="10"/>
      <c r="E123" s="8" t="s">
        <v>5</v>
      </c>
      <c r="F123" s="11">
        <v>255904.74</v>
      </c>
      <c r="H123" s="22" t="str">
        <f t="shared" si="1"/>
        <v>Estructuras de hormigón armado Viga H°A° por 3,00 mts. (12x30cm)</v>
      </c>
      <c r="I123" s="23">
        <f t="shared" si="3"/>
        <v>255904.74</v>
      </c>
    </row>
    <row r="124" ht="15.0" customHeight="1">
      <c r="A124" s="4">
        <v>188.0</v>
      </c>
      <c r="B124" s="5" t="s">
        <v>1560</v>
      </c>
      <c r="C124" s="6" t="s">
        <v>1596</v>
      </c>
      <c r="D124" s="6"/>
      <c r="E124" s="4" t="s">
        <v>5</v>
      </c>
      <c r="F124" s="7">
        <v>332676.14</v>
      </c>
      <c r="H124" s="22" t="str">
        <f t="shared" si="1"/>
        <v>Estructuras de hormigón armado Viga H°A° por 4,00 mts. (12x40cm)</v>
      </c>
      <c r="I124" s="23">
        <f t="shared" si="3"/>
        <v>332676.14</v>
      </c>
    </row>
    <row r="125" ht="15.0" customHeight="1">
      <c r="A125" s="8">
        <v>189.0</v>
      </c>
      <c r="B125" s="9" t="s">
        <v>1560</v>
      </c>
      <c r="C125" s="10" t="s">
        <v>1597</v>
      </c>
      <c r="D125" s="10"/>
      <c r="E125" s="8" t="s">
        <v>5</v>
      </c>
      <c r="F125" s="11">
        <v>383857.11</v>
      </c>
      <c r="H125" s="22" t="str">
        <f t="shared" si="1"/>
        <v>Estructuras de hormigón armado Viga H°A° por 5,00 mts. (12x50cm)</v>
      </c>
      <c r="I125" s="23">
        <f t="shared" si="3"/>
        <v>383857.11</v>
      </c>
    </row>
    <row r="126" ht="15.0" customHeight="1">
      <c r="A126" s="4">
        <v>218.0</v>
      </c>
      <c r="B126" s="5" t="s">
        <v>1598</v>
      </c>
      <c r="C126" s="6" t="s">
        <v>1599</v>
      </c>
      <c r="D126" s="6"/>
      <c r="E126" s="4" t="s">
        <v>22</v>
      </c>
      <c r="F126" s="7">
        <v>20275.51</v>
      </c>
      <c r="H126" s="22" t="str">
        <f t="shared" si="1"/>
        <v>Revoques 2 en 1: grueso y fino interior</v>
      </c>
      <c r="I126" s="23">
        <f t="shared" si="3"/>
        <v>20275.51</v>
      </c>
    </row>
    <row r="127" ht="15.0" customHeight="1">
      <c r="A127" s="8">
        <v>219.0</v>
      </c>
      <c r="B127" s="9" t="s">
        <v>1598</v>
      </c>
      <c r="C127" s="10" t="s">
        <v>1600</v>
      </c>
      <c r="D127" s="10"/>
      <c r="E127" s="8" t="s">
        <v>22</v>
      </c>
      <c r="F127" s="11">
        <v>22809.94</v>
      </c>
      <c r="H127" s="22" t="str">
        <f t="shared" si="1"/>
        <v>Revoques 3 en 1: grueso con hidrofugo y fino exterior</v>
      </c>
      <c r="I127" s="23">
        <f t="shared" si="3"/>
        <v>22809.94</v>
      </c>
    </row>
    <row r="128" ht="15.0" customHeight="1">
      <c r="A128" s="4">
        <v>292.0</v>
      </c>
      <c r="B128" s="5" t="s">
        <v>1598</v>
      </c>
      <c r="C128" s="6" t="s">
        <v>1601</v>
      </c>
      <c r="D128" s="6" t="s">
        <v>1602</v>
      </c>
      <c r="E128" s="4" t="s">
        <v>22</v>
      </c>
      <c r="F128" s="7">
        <v>10644.66</v>
      </c>
      <c r="H128" s="22" t="str">
        <f t="shared" si="1"/>
        <v>Revoques Alisado de muros (interior) con masilla </v>
      </c>
      <c r="I128" s="23">
        <f t="shared" si="3"/>
        <v>10644.66</v>
      </c>
    </row>
    <row r="129" ht="15.0" customHeight="1">
      <c r="A129" s="8">
        <v>39.0</v>
      </c>
      <c r="B129" s="9" t="s">
        <v>1598</v>
      </c>
      <c r="C129" s="10" t="s">
        <v>1603</v>
      </c>
      <c r="D129" s="10"/>
      <c r="E129" s="8" t="s">
        <v>22</v>
      </c>
      <c r="F129" s="11">
        <v>11658.43</v>
      </c>
      <c r="H129" s="22" t="str">
        <f t="shared" si="1"/>
        <v>Revoques Azotado hidrófugo bajo revoque</v>
      </c>
      <c r="I129" s="23">
        <f t="shared" si="3"/>
        <v>11658.43</v>
      </c>
    </row>
    <row r="130" ht="15.0" customHeight="1">
      <c r="A130" s="4">
        <v>57.0</v>
      </c>
      <c r="B130" s="5" t="s">
        <v>1598</v>
      </c>
      <c r="C130" s="6" t="s">
        <v>1604</v>
      </c>
      <c r="D130" s="6"/>
      <c r="E130" s="4" t="s">
        <v>22</v>
      </c>
      <c r="F130" s="7">
        <v>15206.65</v>
      </c>
      <c r="H130" s="22" t="str">
        <f t="shared" si="1"/>
        <v>Revoques Enlucido de yeso</v>
      </c>
      <c r="I130" s="23">
        <f t="shared" si="3"/>
        <v>15206.65</v>
      </c>
    </row>
    <row r="131" ht="15.0" customHeight="1">
      <c r="A131" s="8">
        <v>41.0</v>
      </c>
      <c r="B131" s="9" t="s">
        <v>1598</v>
      </c>
      <c r="C131" s="10" t="s">
        <v>1605</v>
      </c>
      <c r="D131" s="10"/>
      <c r="E131" s="8" t="s">
        <v>22</v>
      </c>
      <c r="F131" s="11">
        <v>13685.99</v>
      </c>
      <c r="H131" s="22" t="str">
        <f t="shared" si="1"/>
        <v>Revoques Fino exterior</v>
      </c>
      <c r="I131" s="23">
        <f t="shared" si="3"/>
        <v>13685.99</v>
      </c>
    </row>
    <row r="132" ht="15.0" customHeight="1">
      <c r="A132" s="4">
        <v>43.0</v>
      </c>
      <c r="B132" s="5" t="s">
        <v>1598</v>
      </c>
      <c r="C132" s="6" t="s">
        <v>1606</v>
      </c>
      <c r="D132" s="6"/>
      <c r="E132" s="4" t="s">
        <v>22</v>
      </c>
      <c r="F132" s="7">
        <v>12418.77</v>
      </c>
      <c r="H132" s="22" t="str">
        <f t="shared" si="1"/>
        <v>Revoques Fino interior</v>
      </c>
      <c r="I132" s="23">
        <f t="shared" si="3"/>
        <v>12418.77</v>
      </c>
    </row>
    <row r="133" ht="15.0" customHeight="1">
      <c r="A133" s="8">
        <v>44.0</v>
      </c>
      <c r="B133" s="9" t="s">
        <v>1598</v>
      </c>
      <c r="C133" s="10" t="s">
        <v>1607</v>
      </c>
      <c r="D133" s="10"/>
      <c r="E133" s="8" t="s">
        <v>22</v>
      </c>
      <c r="F133" s="11">
        <v>14699.74</v>
      </c>
      <c r="H133" s="22" t="str">
        <f t="shared" si="1"/>
        <v>Revoques Fino interior/exterior in situ</v>
      </c>
      <c r="I133" s="23">
        <f t="shared" si="3"/>
        <v>14699.74</v>
      </c>
    </row>
    <row r="134" ht="15.0" customHeight="1">
      <c r="A134" s="4">
        <v>368.0</v>
      </c>
      <c r="B134" s="5" t="s">
        <v>1598</v>
      </c>
      <c r="C134" s="6" t="s">
        <v>1608</v>
      </c>
      <c r="D134" s="6"/>
      <c r="E134" s="4" t="s">
        <v>22</v>
      </c>
      <c r="F134" s="7">
        <v>18232.08</v>
      </c>
      <c r="H134" s="22" t="str">
        <f t="shared" si="1"/>
        <v>Revoques Grueso bolseado exterior/interior</v>
      </c>
      <c r="I134" s="23">
        <f t="shared" si="3"/>
        <v>18232.08</v>
      </c>
    </row>
    <row r="135" ht="15.0" customHeight="1">
      <c r="A135" s="8">
        <v>232.0</v>
      </c>
      <c r="B135" s="9" t="s">
        <v>1598</v>
      </c>
      <c r="C135" s="10" t="s">
        <v>1609</v>
      </c>
      <c r="D135" s="10"/>
      <c r="E135" s="8" t="s">
        <v>22</v>
      </c>
      <c r="F135" s="11">
        <v>24644.67</v>
      </c>
      <c r="H135" s="22" t="str">
        <f t="shared" si="1"/>
        <v>Revoques Grueso fratasado exterior/interior</v>
      </c>
      <c r="I135" s="23">
        <f t="shared" si="3"/>
        <v>24644.67</v>
      </c>
    </row>
    <row r="136" ht="15.0" customHeight="1">
      <c r="A136" s="4">
        <v>40.0</v>
      </c>
      <c r="B136" s="5" t="s">
        <v>1598</v>
      </c>
      <c r="C136" s="6" t="s">
        <v>1610</v>
      </c>
      <c r="D136" s="6"/>
      <c r="E136" s="4" t="s">
        <v>22</v>
      </c>
      <c r="F136" s="7">
        <v>21543.3</v>
      </c>
      <c r="H136" s="22" t="str">
        <f t="shared" si="1"/>
        <v>Revoques Grueso regleado exterior</v>
      </c>
      <c r="I136" s="23">
        <f t="shared" si="3"/>
        <v>21543.3</v>
      </c>
    </row>
    <row r="137" ht="15.0" customHeight="1">
      <c r="A137" s="8">
        <v>42.0</v>
      </c>
      <c r="B137" s="9" t="s">
        <v>1598</v>
      </c>
      <c r="C137" s="10" t="s">
        <v>1611</v>
      </c>
      <c r="D137" s="10"/>
      <c r="E137" s="8" t="s">
        <v>22</v>
      </c>
      <c r="F137" s="11">
        <v>21543.3</v>
      </c>
      <c r="H137" s="22" t="str">
        <f t="shared" si="1"/>
        <v>Revoques Grueso regleado interior</v>
      </c>
      <c r="I137" s="23">
        <f t="shared" si="3"/>
        <v>21543.3</v>
      </c>
    </row>
    <row r="138" ht="15.0" customHeight="1">
      <c r="A138" s="4">
        <v>127.0</v>
      </c>
      <c r="B138" s="5" t="s">
        <v>1612</v>
      </c>
      <c r="C138" s="6" t="s">
        <v>1613</v>
      </c>
      <c r="D138" s="6"/>
      <c r="E138" s="4" t="s">
        <v>22</v>
      </c>
      <c r="F138" s="7">
        <v>18085.58</v>
      </c>
      <c r="H138" s="22" t="str">
        <f t="shared" si="1"/>
        <v>Contrapisos De cascotes s/ terreno natural. Esp: 10cm.</v>
      </c>
      <c r="I138" s="23">
        <f t="shared" si="3"/>
        <v>18085.58</v>
      </c>
    </row>
    <row r="139" ht="15.0" customHeight="1">
      <c r="A139" s="8">
        <v>128.0</v>
      </c>
      <c r="B139" s="9" t="s">
        <v>1612</v>
      </c>
      <c r="C139" s="10" t="s">
        <v>1614</v>
      </c>
      <c r="D139" s="10"/>
      <c r="E139" s="8" t="s">
        <v>22</v>
      </c>
      <c r="F139" s="11">
        <v>18085.58</v>
      </c>
      <c r="H139" s="22" t="str">
        <f t="shared" si="1"/>
        <v>Contrapisos De cascotes s/ terreno natural. Esp: 10cm. (con cemento de albañilería)</v>
      </c>
      <c r="I139" s="23">
        <f t="shared" si="3"/>
        <v>18085.58</v>
      </c>
    </row>
    <row r="140" ht="15.0" customHeight="1">
      <c r="A140" s="4">
        <v>67.0</v>
      </c>
      <c r="B140" s="5" t="s">
        <v>1612</v>
      </c>
      <c r="C140" s="6" t="s">
        <v>1615</v>
      </c>
      <c r="D140" s="6"/>
      <c r="E140" s="4" t="s">
        <v>22</v>
      </c>
      <c r="F140" s="7">
        <v>15501.92</v>
      </c>
      <c r="H140" s="22" t="str">
        <f t="shared" si="1"/>
        <v>Contrapisos De hormigón s/ losa. (esp: 7cm.) </v>
      </c>
      <c r="I140" s="23">
        <f t="shared" si="3"/>
        <v>15501.92</v>
      </c>
    </row>
    <row r="141" ht="15.0" customHeight="1">
      <c r="A141" s="8">
        <v>66.0</v>
      </c>
      <c r="B141" s="9" t="s">
        <v>1612</v>
      </c>
      <c r="C141" s="10" t="s">
        <v>1616</v>
      </c>
      <c r="D141" s="10"/>
      <c r="E141" s="8" t="s">
        <v>22</v>
      </c>
      <c r="F141" s="11">
        <v>18085.58</v>
      </c>
      <c r="H141" s="22" t="str">
        <f t="shared" si="1"/>
        <v>Contrapisos De hormigón s/ terreno natural. (esp: 10cm.) </v>
      </c>
      <c r="I141" s="23">
        <f t="shared" si="3"/>
        <v>18085.58</v>
      </c>
    </row>
    <row r="142" ht="15.0" customHeight="1">
      <c r="A142" s="4">
        <v>47.0</v>
      </c>
      <c r="B142" s="5" t="s">
        <v>1617</v>
      </c>
      <c r="C142" s="6" t="s">
        <v>1618</v>
      </c>
      <c r="D142" s="6" t="s">
        <v>1619</v>
      </c>
      <c r="E142" s="4" t="s">
        <v>22</v>
      </c>
      <c r="F142" s="7">
        <v>77509.62</v>
      </c>
      <c r="H142" s="22" t="str">
        <f t="shared" si="1"/>
        <v>Entrepisos Entrepiso de 1´ s/tirantes de 2x6</v>
      </c>
      <c r="I142" s="23">
        <f t="shared" si="3"/>
        <v>77509.62</v>
      </c>
    </row>
    <row r="143" ht="15.0" customHeight="1">
      <c r="A143" s="8">
        <v>228.0</v>
      </c>
      <c r="B143" s="9" t="s">
        <v>1617</v>
      </c>
      <c r="C143" s="10" t="s">
        <v>1620</v>
      </c>
      <c r="D143" s="10" t="s">
        <v>1621</v>
      </c>
      <c r="E143" s="8" t="s">
        <v>22</v>
      </c>
      <c r="F143" s="11">
        <v>68466.84</v>
      </c>
      <c r="H143" s="22" t="str">
        <f t="shared" si="1"/>
        <v>Entrepisos Entrepiso de fenolico s/perfil galvanizado</v>
      </c>
      <c r="I143" s="23">
        <f t="shared" si="3"/>
        <v>68466.84</v>
      </c>
    </row>
    <row r="144" ht="15.0" customHeight="1">
      <c r="A144" s="4">
        <v>445.0</v>
      </c>
      <c r="B144" s="5" t="s">
        <v>1622</v>
      </c>
      <c r="C144" s="6" t="s">
        <v>1623</v>
      </c>
      <c r="D144" s="6"/>
      <c r="E144" s="4" t="s">
        <v>76</v>
      </c>
      <c r="F144" s="7">
        <v>27042.75</v>
      </c>
      <c r="H144" s="22" t="str">
        <f t="shared" si="1"/>
        <v>Cubiertas Colocación Cumbrera de Chapa Color</v>
      </c>
      <c r="I144" s="23">
        <f t="shared" si="3"/>
        <v>27042.75</v>
      </c>
    </row>
    <row r="145" ht="15.0" customHeight="1">
      <c r="A145" s="8">
        <v>444.0</v>
      </c>
      <c r="B145" s="9" t="s">
        <v>1622</v>
      </c>
      <c r="C145" s="10" t="s">
        <v>1624</v>
      </c>
      <c r="D145" s="10"/>
      <c r="E145" s="8" t="s">
        <v>76</v>
      </c>
      <c r="F145" s="11">
        <v>27042.75</v>
      </c>
      <c r="H145" s="22" t="str">
        <f t="shared" si="1"/>
        <v>Cubiertas Colocación Cumbrera de Chapa Galvanizada</v>
      </c>
      <c r="I145" s="23">
        <f t="shared" si="3"/>
        <v>27042.75</v>
      </c>
    </row>
    <row r="146" ht="15.0" customHeight="1">
      <c r="A146" s="4">
        <v>227.0</v>
      </c>
      <c r="B146" s="5" t="s">
        <v>1622</v>
      </c>
      <c r="C146" s="6" t="s">
        <v>1625</v>
      </c>
      <c r="D146" s="6"/>
      <c r="E146" s="4" t="s">
        <v>22</v>
      </c>
      <c r="F146" s="7">
        <v>17129.59</v>
      </c>
      <c r="H146" s="22" t="str">
        <f t="shared" si="1"/>
        <v>Cubiertas Colocación de membrana asfáltica con imprimación de superficie</v>
      </c>
      <c r="I146" s="23">
        <f t="shared" si="3"/>
        <v>17129.59</v>
      </c>
    </row>
    <row r="147" ht="15.0" customHeight="1">
      <c r="A147" s="8">
        <v>459.0</v>
      </c>
      <c r="B147" s="9" t="s">
        <v>1622</v>
      </c>
      <c r="C147" s="10" t="s">
        <v>1626</v>
      </c>
      <c r="D147" s="10"/>
      <c r="E147" s="8" t="s">
        <v>22</v>
      </c>
      <c r="F147" s="11">
        <v>48676.95</v>
      </c>
      <c r="H147" s="22" t="str">
        <f t="shared" si="1"/>
        <v>Cubiertas Forrado de Alero a Nivel c/Machimbre de Madera de 1/2</v>
      </c>
      <c r="I147" s="23">
        <f t="shared" si="3"/>
        <v>48676.95</v>
      </c>
    </row>
    <row r="148" ht="15.0" customHeight="1">
      <c r="A148" s="4">
        <v>493.0</v>
      </c>
      <c r="B148" s="5" t="s">
        <v>1622</v>
      </c>
      <c r="C148" s="6" t="s">
        <v>1627</v>
      </c>
      <c r="D148" s="6" t="s">
        <v>1628</v>
      </c>
      <c r="E148" s="4" t="s">
        <v>22</v>
      </c>
      <c r="F148" s="7">
        <v>71153.81</v>
      </c>
      <c r="H148" s="22" t="str">
        <f t="shared" si="1"/>
        <v>Cubiertas Techo de Chapa Color Ondulada o Trapezoidal sobre Estructura de Madera Vista. (c/aislante y machimbre)</v>
      </c>
      <c r="I148" s="23">
        <f t="shared" si="3"/>
        <v>71153.81</v>
      </c>
    </row>
    <row r="149" ht="15.0" customHeight="1">
      <c r="A149" s="8">
        <v>48.0</v>
      </c>
      <c r="B149" s="9" t="s">
        <v>1622</v>
      </c>
      <c r="C149" s="10" t="s">
        <v>1629</v>
      </c>
      <c r="D149" s="10" t="s">
        <v>1628</v>
      </c>
      <c r="E149" s="8" t="s">
        <v>22</v>
      </c>
      <c r="F149" s="11">
        <v>71153.81</v>
      </c>
      <c r="H149" s="22" t="str">
        <f t="shared" si="1"/>
        <v>Cubiertas Techo de Chapa Ondulada o Trapezoidal sobre Estructura de Madera Vista. (c/aislante y machimbre)</v>
      </c>
      <c r="I149" s="23">
        <f t="shared" si="3"/>
        <v>71153.81</v>
      </c>
    </row>
    <row r="150" ht="15.0" customHeight="1">
      <c r="A150" s="4">
        <v>49.0</v>
      </c>
      <c r="B150" s="5" t="s">
        <v>1622</v>
      </c>
      <c r="C150" s="6" t="s">
        <v>1630</v>
      </c>
      <c r="D150" s="6" t="s">
        <v>1631</v>
      </c>
      <c r="E150" s="4" t="s">
        <v>22</v>
      </c>
      <c r="F150" s="7">
        <v>63247.82</v>
      </c>
      <c r="H150" s="22" t="str">
        <f t="shared" si="1"/>
        <v>Cubiertas Techo de Chapa Ondulada o Trapezoidal Sobre Estructura Metálica Oculta. (incluye aislante)</v>
      </c>
      <c r="I150" s="23">
        <f t="shared" si="3"/>
        <v>63247.82</v>
      </c>
    </row>
    <row r="151" ht="15.0" customHeight="1">
      <c r="A151" s="8">
        <v>59.0</v>
      </c>
      <c r="B151" s="9" t="s">
        <v>1622</v>
      </c>
      <c r="C151" s="10" t="s">
        <v>1632</v>
      </c>
      <c r="D151" s="10" t="s">
        <v>1633</v>
      </c>
      <c r="E151" s="8" t="s">
        <v>22</v>
      </c>
      <c r="F151" s="11">
        <v>84330.46</v>
      </c>
      <c r="H151" s="22" t="str">
        <f t="shared" si="1"/>
        <v>Cubiertas Techo de Teja colonial sobre estructura de madera. (c/aislante sobre madera en bruto)</v>
      </c>
      <c r="I151" s="23">
        <f t="shared" si="3"/>
        <v>84330.46</v>
      </c>
    </row>
    <row r="152" ht="15.0" customHeight="1">
      <c r="A152" s="4">
        <v>60.0</v>
      </c>
      <c r="B152" s="5" t="s">
        <v>1622</v>
      </c>
      <c r="C152" s="6" t="s">
        <v>1634</v>
      </c>
      <c r="D152" s="6" t="s">
        <v>1633</v>
      </c>
      <c r="E152" s="4" t="s">
        <v>22</v>
      </c>
      <c r="F152" s="7">
        <v>79059.8</v>
      </c>
      <c r="H152" s="22" t="str">
        <f t="shared" si="1"/>
        <v>Cubiertas Techo de Teja francesa sobre estructura de madera. (c/aislante sobre madera en bruto)</v>
      </c>
      <c r="I152" s="23">
        <f t="shared" si="3"/>
        <v>79059.8</v>
      </c>
    </row>
    <row r="153" ht="15.0" customHeight="1">
      <c r="A153" s="8">
        <v>251.0</v>
      </c>
      <c r="B153" s="9" t="s">
        <v>1635</v>
      </c>
      <c r="C153" s="10" t="s">
        <v>1636</v>
      </c>
      <c r="D153" s="10" t="s">
        <v>1637</v>
      </c>
      <c r="E153" s="8" t="s">
        <v>5</v>
      </c>
      <c r="F153" s="11">
        <v>1095623.44</v>
      </c>
      <c r="H153" s="22" t="str">
        <f t="shared" si="1"/>
        <v>Instalaciones sanitarias *Biodigestor 1100 L Autolimpiable + Cámara de Registro de Lodos + Encimas PC3. Incluido Drenajes</v>
      </c>
      <c r="I153" s="23">
        <f t="shared" si="3"/>
        <v>1095623.44</v>
      </c>
    </row>
    <row r="154" ht="15.0" customHeight="1">
      <c r="A154" s="4">
        <v>93.0</v>
      </c>
      <c r="B154" s="5" t="s">
        <v>1635</v>
      </c>
      <c r="C154" s="6" t="s">
        <v>1638</v>
      </c>
      <c r="D154" s="6"/>
      <c r="E154" s="4" t="s">
        <v>5</v>
      </c>
      <c r="F154" s="7">
        <v>258365.36</v>
      </c>
      <c r="H154" s="22" t="str">
        <f t="shared" si="1"/>
        <v>Instalaciones sanitarias Balcón c/canilla de servicio (Desagües pluviales)</v>
      </c>
      <c r="I154" s="23">
        <f t="shared" si="3"/>
        <v>258365.36</v>
      </c>
    </row>
    <row r="155" ht="15.0" customHeight="1">
      <c r="A155" s="8">
        <v>312.0</v>
      </c>
      <c r="B155" s="9" t="s">
        <v>1635</v>
      </c>
      <c r="C155" s="10" t="s">
        <v>1639</v>
      </c>
      <c r="D155" s="10" t="s">
        <v>1640</v>
      </c>
      <c r="E155" s="8" t="s">
        <v>5</v>
      </c>
      <c r="F155" s="11">
        <v>568403.76</v>
      </c>
      <c r="H155" s="22" t="str">
        <f t="shared" si="1"/>
        <v>Instalaciones sanitarias Baño (Agua caliente y fría)</v>
      </c>
      <c r="I155" s="23">
        <f t="shared" si="3"/>
        <v>568403.76</v>
      </c>
    </row>
    <row r="156" ht="15.0" customHeight="1">
      <c r="A156" s="4">
        <v>311.0</v>
      </c>
      <c r="B156" s="5" t="s">
        <v>1635</v>
      </c>
      <c r="C156" s="6" t="s">
        <v>1641</v>
      </c>
      <c r="D156" s="6" t="s">
        <v>1640</v>
      </c>
      <c r="E156" s="4" t="s">
        <v>5</v>
      </c>
      <c r="F156" s="7">
        <v>465057.66</v>
      </c>
      <c r="H156" s="22" t="str">
        <f t="shared" si="1"/>
        <v>Instalaciones sanitarias Baño (Desagües primarios y secundarios)</v>
      </c>
      <c r="I156" s="23">
        <f t="shared" si="3"/>
        <v>465057.66</v>
      </c>
    </row>
    <row r="157" ht="15.0" customHeight="1">
      <c r="A157" s="8">
        <v>90.0</v>
      </c>
      <c r="B157" s="9" t="s">
        <v>1635</v>
      </c>
      <c r="C157" s="10" t="s">
        <v>1642</v>
      </c>
      <c r="D157" s="10" t="s">
        <v>1643</v>
      </c>
      <c r="E157" s="8" t="s">
        <v>5</v>
      </c>
      <c r="F157" s="11">
        <v>968870.06</v>
      </c>
      <c r="H157" s="22" t="str">
        <f t="shared" si="1"/>
        <v>Instalaciones sanitarias Baño completo (Desagües primarios y secundarios, agua caliente y fría)</v>
      </c>
      <c r="I157" s="23">
        <f t="shared" si="3"/>
        <v>968870.06</v>
      </c>
    </row>
    <row r="158" ht="15.0" customHeight="1">
      <c r="A158" s="4">
        <v>314.0</v>
      </c>
      <c r="B158" s="5" t="s">
        <v>1635</v>
      </c>
      <c r="C158" s="6" t="s">
        <v>1644</v>
      </c>
      <c r="D158" s="6" t="s">
        <v>1645</v>
      </c>
      <c r="E158" s="4" t="s">
        <v>5</v>
      </c>
      <c r="F158" s="7">
        <v>465057.66</v>
      </c>
      <c r="H158" s="22" t="str">
        <f t="shared" si="1"/>
        <v>Instalaciones sanitarias Cocina-Lavadero c/Termo o Calefon (Agua caliente y fría)</v>
      </c>
      <c r="I158" s="23">
        <f t="shared" si="3"/>
        <v>465057.66</v>
      </c>
    </row>
    <row r="159" ht="15.0" customHeight="1">
      <c r="A159" s="8">
        <v>91.0</v>
      </c>
      <c r="B159" s="9" t="s">
        <v>1635</v>
      </c>
      <c r="C159" s="10" t="s">
        <v>1646</v>
      </c>
      <c r="D159" s="10" t="s">
        <v>1647</v>
      </c>
      <c r="E159" s="8" t="s">
        <v>5</v>
      </c>
      <c r="F159" s="11">
        <v>645913.42</v>
      </c>
      <c r="H159" s="22" t="str">
        <f t="shared" si="1"/>
        <v>Instalaciones sanitarias Cocina-Lavadero c/Termo o Calefon (Desagües primarios y secundarios, agua caliente y fría)</v>
      </c>
      <c r="I159" s="23">
        <f t="shared" si="3"/>
        <v>645913.42</v>
      </c>
    </row>
    <row r="160" ht="15.0" customHeight="1">
      <c r="A160" s="4">
        <v>313.0</v>
      </c>
      <c r="B160" s="5" t="s">
        <v>1635</v>
      </c>
      <c r="C160" s="6" t="s">
        <v>1648</v>
      </c>
      <c r="D160" s="6" t="s">
        <v>1645</v>
      </c>
      <c r="E160" s="4" t="s">
        <v>5</v>
      </c>
      <c r="F160" s="7">
        <v>310038.41</v>
      </c>
      <c r="H160" s="22" t="str">
        <f t="shared" si="1"/>
        <v>Instalaciones sanitarias Cocina-Lavadero c/Termo o Calefon (Desagües primarios y secundarios)</v>
      </c>
      <c r="I160" s="23">
        <f t="shared" si="3"/>
        <v>310038.41</v>
      </c>
    </row>
    <row r="161" ht="15.0" customHeight="1">
      <c r="A161" s="8">
        <v>456.0</v>
      </c>
      <c r="B161" s="9" t="s">
        <v>1635</v>
      </c>
      <c r="C161" s="10" t="s">
        <v>1649</v>
      </c>
      <c r="D161" s="10" t="s">
        <v>1650</v>
      </c>
      <c r="E161" s="8" t="s">
        <v>5</v>
      </c>
      <c r="F161" s="11">
        <v>432684.0</v>
      </c>
      <c r="H161" s="22" t="str">
        <f t="shared" si="1"/>
        <v>Instalaciones sanitarias Conexión de Agua y Cloacas a la Red Domiciliaria</v>
      </c>
      <c r="I161" s="23">
        <f t="shared" si="3"/>
        <v>432684</v>
      </c>
    </row>
    <row r="162" ht="15.0" customHeight="1">
      <c r="A162" s="4">
        <v>364.0</v>
      </c>
      <c r="B162" s="5" t="s">
        <v>1635</v>
      </c>
      <c r="C162" s="6" t="s">
        <v>1651</v>
      </c>
      <c r="D162" s="6"/>
      <c r="E162" s="4" t="s">
        <v>5</v>
      </c>
      <c r="F162" s="7">
        <v>251532.04</v>
      </c>
      <c r="H162" s="22" t="str">
        <f t="shared" si="1"/>
        <v>Instalaciones sanitarias Conexión Desagües Primarios hasta Red Cloacal (Hasta 6mts)</v>
      </c>
      <c r="I162" s="23">
        <f t="shared" si="3"/>
        <v>251532.04</v>
      </c>
    </row>
    <row r="163" ht="15.0" customHeight="1">
      <c r="A163" s="8">
        <v>362.0</v>
      </c>
      <c r="B163" s="9" t="s">
        <v>1635</v>
      </c>
      <c r="C163" s="10" t="s">
        <v>1652</v>
      </c>
      <c r="D163" s="10"/>
      <c r="E163" s="8" t="s">
        <v>5</v>
      </c>
      <c r="F163" s="11">
        <v>223731.15</v>
      </c>
      <c r="H163" s="22" t="str">
        <f t="shared" si="1"/>
        <v>Instalaciones sanitarias Construcción de Cámara de Inspección 60x60 con modulo pre-moldeado y cojinetes de material</v>
      </c>
      <c r="I163" s="23">
        <f t="shared" si="3"/>
        <v>223731.15</v>
      </c>
    </row>
    <row r="164" ht="15.0" customHeight="1">
      <c r="A164" s="4">
        <v>360.0</v>
      </c>
      <c r="B164" s="5" t="s">
        <v>1635</v>
      </c>
      <c r="C164" s="6" t="s">
        <v>1653</v>
      </c>
      <c r="D164" s="6" t="s">
        <v>1654</v>
      </c>
      <c r="E164" s="4" t="s">
        <v>76</v>
      </c>
      <c r="F164" s="7">
        <v>37729.83</v>
      </c>
      <c r="H164" s="22" t="str">
        <f t="shared" si="1"/>
        <v>Instalaciones sanitarias Inst. de Agua, con cañería fusión por metro aéreo y engrampado</v>
      </c>
      <c r="I164" s="23">
        <f t="shared" si="3"/>
        <v>37729.83</v>
      </c>
    </row>
    <row r="165" ht="15.0" customHeight="1">
      <c r="A165" s="8">
        <v>359.0</v>
      </c>
      <c r="B165" s="9" t="s">
        <v>1635</v>
      </c>
      <c r="C165" s="10" t="s">
        <v>1655</v>
      </c>
      <c r="D165" s="10" t="s">
        <v>1654</v>
      </c>
      <c r="E165" s="8" t="s">
        <v>76</v>
      </c>
      <c r="F165" s="11">
        <v>57190.44</v>
      </c>
      <c r="H165" s="22" t="str">
        <f t="shared" si="1"/>
        <v>Instalaciones sanitarias Inst. de Agua, con cañería fusión por metro canalizado</v>
      </c>
      <c r="I165" s="23">
        <f t="shared" si="3"/>
        <v>57190.44</v>
      </c>
    </row>
    <row r="166" ht="15.0" customHeight="1">
      <c r="A166" s="4">
        <v>358.0</v>
      </c>
      <c r="B166" s="5" t="s">
        <v>1635</v>
      </c>
      <c r="C166" s="6" t="s">
        <v>1656</v>
      </c>
      <c r="D166" s="6" t="s">
        <v>1654</v>
      </c>
      <c r="E166" s="4" t="s">
        <v>76</v>
      </c>
      <c r="F166" s="7">
        <v>57190.44</v>
      </c>
      <c r="H166" s="22" t="str">
        <f t="shared" si="1"/>
        <v>Instalaciones sanitarias Inst. de Agua, con cañería fusión por metro zanjeado</v>
      </c>
      <c r="I166" s="23">
        <f t="shared" si="3"/>
        <v>57190.44</v>
      </c>
    </row>
    <row r="167" ht="15.0" customHeight="1">
      <c r="A167" s="8">
        <v>363.0</v>
      </c>
      <c r="B167" s="9" t="s">
        <v>1635</v>
      </c>
      <c r="C167" s="10" t="s">
        <v>1657</v>
      </c>
      <c r="D167" s="10"/>
      <c r="E167" s="8" t="s">
        <v>5</v>
      </c>
      <c r="F167" s="11">
        <v>145623.82</v>
      </c>
      <c r="H167" s="22" t="str">
        <f t="shared" si="1"/>
        <v>Instalaciones sanitarias Inst. de Cámara de Inspección plástica sobre mortero de asiento</v>
      </c>
      <c r="I167" s="23">
        <f t="shared" si="3"/>
        <v>145623.82</v>
      </c>
    </row>
    <row r="168" ht="15.0" customHeight="1">
      <c r="A168" s="4">
        <v>366.0</v>
      </c>
      <c r="B168" s="5" t="s">
        <v>1635</v>
      </c>
      <c r="C168" s="6" t="s">
        <v>1658</v>
      </c>
      <c r="D168" s="6"/>
      <c r="E168" s="4" t="s">
        <v>5</v>
      </c>
      <c r="F168" s="7">
        <v>152243.08</v>
      </c>
      <c r="H168" s="22" t="str">
        <f t="shared" si="1"/>
        <v>Instalaciones sanitarias Inst. de Cámara Séptica Plástica</v>
      </c>
      <c r="I168" s="23">
        <f t="shared" si="3"/>
        <v>152243.08</v>
      </c>
    </row>
    <row r="169" ht="15.0" customHeight="1">
      <c r="A169" s="8">
        <v>365.0</v>
      </c>
      <c r="B169" s="9" t="s">
        <v>1635</v>
      </c>
      <c r="C169" s="10" t="s">
        <v>1659</v>
      </c>
      <c r="D169" s="10"/>
      <c r="E169" s="8" t="s">
        <v>5</v>
      </c>
      <c r="F169" s="11">
        <v>211816.47</v>
      </c>
      <c r="H169" s="22" t="str">
        <f t="shared" si="1"/>
        <v>Instalaciones sanitarias Inst. de Cámara Séptica Premoldeada Cemento Modular</v>
      </c>
      <c r="I169" s="23">
        <f t="shared" si="3"/>
        <v>211816.47</v>
      </c>
    </row>
    <row r="170" ht="15.0" customHeight="1">
      <c r="A170" s="4">
        <v>367.0</v>
      </c>
      <c r="B170" s="5" t="s">
        <v>1635</v>
      </c>
      <c r="C170" s="6" t="s">
        <v>1660</v>
      </c>
      <c r="D170" s="6"/>
      <c r="E170" s="4" t="s">
        <v>76</v>
      </c>
      <c r="F170" s="7">
        <v>56263.75</v>
      </c>
      <c r="H170" s="22" t="str">
        <f t="shared" si="1"/>
        <v>Instalaciones sanitarias Inst. de Pluvial hasta cordón cuneta por metro lineal (por tierra)</v>
      </c>
      <c r="I170" s="23">
        <f t="shared" si="3"/>
        <v>56263.75</v>
      </c>
    </row>
    <row r="171" ht="15.0" customHeight="1">
      <c r="A171" s="8">
        <v>361.0</v>
      </c>
      <c r="B171" s="9" t="s">
        <v>1635</v>
      </c>
      <c r="C171" s="10" t="s">
        <v>1661</v>
      </c>
      <c r="D171" s="10"/>
      <c r="E171" s="8" t="s">
        <v>5</v>
      </c>
      <c r="F171" s="11">
        <v>90022.0</v>
      </c>
      <c r="H171" s="22" t="str">
        <f t="shared" si="1"/>
        <v>Instalaciones sanitarias Prueba Hidráulica Agua hasta 15 bares</v>
      </c>
      <c r="I171" s="23">
        <f t="shared" si="3"/>
        <v>90022</v>
      </c>
    </row>
    <row r="172" ht="15.0" customHeight="1">
      <c r="A172" s="4">
        <v>371.0</v>
      </c>
      <c r="B172" s="5" t="s">
        <v>1635</v>
      </c>
      <c r="C172" s="6" t="s">
        <v>1662</v>
      </c>
      <c r="D172" s="6"/>
      <c r="E172" s="4" t="s">
        <v>5</v>
      </c>
      <c r="F172" s="7">
        <v>146083.14</v>
      </c>
      <c r="H172" s="22" t="str">
        <f t="shared" si="1"/>
        <v>Instalaciones sanitarias Prueba Hidráulica en Desagües (con Tapón Neumático)</v>
      </c>
      <c r="I172" s="23">
        <f t="shared" si="3"/>
        <v>146083.14</v>
      </c>
    </row>
    <row r="173" ht="15.0" customHeight="1">
      <c r="A173" s="8">
        <v>94.0</v>
      </c>
      <c r="B173" s="9" t="s">
        <v>1635</v>
      </c>
      <c r="C173" s="10" t="s">
        <v>1663</v>
      </c>
      <c r="D173" s="10"/>
      <c r="E173" s="8" t="s">
        <v>5</v>
      </c>
      <c r="F173" s="11">
        <v>620076.84</v>
      </c>
      <c r="H173" s="22" t="str">
        <f t="shared" si="1"/>
        <v>Instalaciones sanitarias Subida de agua al tanque de reserva c/2 canillas de servicio, colector c/3 bajadas indep. </v>
      </c>
      <c r="I173" s="23">
        <f t="shared" si="3"/>
        <v>620076.84</v>
      </c>
    </row>
    <row r="174" ht="15.0" customHeight="1">
      <c r="A174" s="4">
        <v>316.0</v>
      </c>
      <c r="B174" s="5" t="s">
        <v>1635</v>
      </c>
      <c r="C174" s="6" t="s">
        <v>1664</v>
      </c>
      <c r="D174" s="6" t="s">
        <v>1665</v>
      </c>
      <c r="E174" s="4" t="s">
        <v>5</v>
      </c>
      <c r="F174" s="7">
        <v>310038.41</v>
      </c>
      <c r="H174" s="22" t="str">
        <f t="shared" si="1"/>
        <v>Instalaciones sanitarias Toilette (Agua fría y caliente)</v>
      </c>
      <c r="I174" s="23">
        <f t="shared" si="3"/>
        <v>310038.41</v>
      </c>
    </row>
    <row r="175" ht="15.0" customHeight="1">
      <c r="A175" s="8">
        <v>92.0</v>
      </c>
      <c r="B175" s="9" t="s">
        <v>1635</v>
      </c>
      <c r="C175" s="10" t="s">
        <v>1666</v>
      </c>
      <c r="D175" s="10" t="s">
        <v>1667</v>
      </c>
      <c r="E175" s="8" t="s">
        <v>5</v>
      </c>
      <c r="F175" s="11">
        <v>465057.66</v>
      </c>
      <c r="H175" s="22" t="str">
        <f t="shared" si="1"/>
        <v>Instalaciones sanitarias Toilette (Desagües primarios y secundarios, agua caliente y fría)</v>
      </c>
      <c r="I175" s="23">
        <f t="shared" si="3"/>
        <v>465057.66</v>
      </c>
    </row>
    <row r="176" ht="15.0" customHeight="1">
      <c r="A176" s="4">
        <v>315.0</v>
      </c>
      <c r="B176" s="5" t="s">
        <v>1635</v>
      </c>
      <c r="C176" s="6" t="s">
        <v>1668</v>
      </c>
      <c r="D176" s="6" t="s">
        <v>1665</v>
      </c>
      <c r="E176" s="4" t="s">
        <v>5</v>
      </c>
      <c r="F176" s="7">
        <v>258365.36</v>
      </c>
      <c r="H176" s="22" t="str">
        <f t="shared" si="1"/>
        <v>Instalaciones sanitarias Toilette (Desagües primarios y secundarios)</v>
      </c>
      <c r="I176" s="23">
        <f t="shared" si="3"/>
        <v>258365.36</v>
      </c>
    </row>
    <row r="177" ht="15.0" customHeight="1">
      <c r="A177" s="8">
        <v>346.0</v>
      </c>
      <c r="B177" s="9" t="s">
        <v>1669</v>
      </c>
      <c r="C177" s="10" t="s">
        <v>1670</v>
      </c>
      <c r="D177" s="10" t="s">
        <v>1654</v>
      </c>
      <c r="E177" s="8" t="s">
        <v>5</v>
      </c>
      <c r="F177" s="11">
        <v>370183.32</v>
      </c>
      <c r="H177" s="22" t="str">
        <f t="shared" si="1"/>
        <v>Instalaciones de gas Armado de Planta Reguladora</v>
      </c>
      <c r="I177" s="23">
        <f t="shared" si="3"/>
        <v>370183.32</v>
      </c>
    </row>
    <row r="178" ht="15.0" customHeight="1">
      <c r="A178" s="4">
        <v>135.0</v>
      </c>
      <c r="B178" s="5" t="s">
        <v>1669</v>
      </c>
      <c r="C178" s="6" t="s">
        <v>1671</v>
      </c>
      <c r="D178" s="6"/>
      <c r="E178" s="4" t="s">
        <v>515</v>
      </c>
      <c r="F178" s="7">
        <v>1505900.89</v>
      </c>
      <c r="H178" s="22" t="str">
        <f t="shared" si="1"/>
        <v>Instalaciones de gas Inst. en Epoxi completa. Cocina, termo y 3 calefactores (sin planos)</v>
      </c>
      <c r="I178" s="23">
        <f t="shared" si="3"/>
        <v>1505900.89</v>
      </c>
    </row>
    <row r="179" ht="15.0" customHeight="1">
      <c r="A179" s="8">
        <v>323.0</v>
      </c>
      <c r="B179" s="9" t="s">
        <v>1669</v>
      </c>
      <c r="C179" s="10" t="s">
        <v>1672</v>
      </c>
      <c r="D179" s="10" t="s">
        <v>1654</v>
      </c>
      <c r="E179" s="8" t="s">
        <v>76</v>
      </c>
      <c r="F179" s="11">
        <v>37018.34</v>
      </c>
      <c r="H179" s="22" t="str">
        <f t="shared" si="1"/>
        <v>Instalaciones de gas Inst. en Epoxi por metro aéreo y engrampado</v>
      </c>
      <c r="I179" s="23">
        <f t="shared" si="3"/>
        <v>37018.34</v>
      </c>
    </row>
    <row r="180" ht="15.0" customHeight="1">
      <c r="A180" s="4">
        <v>327.0</v>
      </c>
      <c r="B180" s="5" t="s">
        <v>1669</v>
      </c>
      <c r="C180" s="6" t="s">
        <v>1673</v>
      </c>
      <c r="D180" s="6" t="s">
        <v>1654</v>
      </c>
      <c r="E180" s="4" t="s">
        <v>76</v>
      </c>
      <c r="F180" s="7">
        <v>55462.56</v>
      </c>
      <c r="H180" s="22" t="str">
        <f t="shared" si="1"/>
        <v>Instalaciones de gas Inst. en Epoxi por metro canalizado</v>
      </c>
      <c r="I180" s="23">
        <f t="shared" si="3"/>
        <v>55462.56</v>
      </c>
    </row>
    <row r="181" ht="15.0" customHeight="1">
      <c r="A181" s="8">
        <v>322.0</v>
      </c>
      <c r="B181" s="9" t="s">
        <v>1669</v>
      </c>
      <c r="C181" s="10" t="s">
        <v>1674</v>
      </c>
      <c r="D181" s="10" t="s">
        <v>1654</v>
      </c>
      <c r="E181" s="8" t="s">
        <v>76</v>
      </c>
      <c r="F181" s="11">
        <v>45461.09</v>
      </c>
      <c r="H181" s="22" t="str">
        <f t="shared" si="1"/>
        <v>Instalaciones de gas Inst. en Epoxi por metro zanjeado</v>
      </c>
      <c r="I181" s="23">
        <f t="shared" si="3"/>
        <v>45461.09</v>
      </c>
    </row>
    <row r="182" ht="15.0" customHeight="1">
      <c r="A182" s="4">
        <v>234.0</v>
      </c>
      <c r="B182" s="5" t="s">
        <v>1669</v>
      </c>
      <c r="C182" s="6" t="s">
        <v>1675</v>
      </c>
      <c r="D182" s="6"/>
      <c r="E182" s="4" t="s">
        <v>5</v>
      </c>
      <c r="F182" s="7">
        <v>294847.76</v>
      </c>
      <c r="H182" s="22" t="str">
        <f t="shared" si="1"/>
        <v>Instalaciones de gas Inst. en Epoxi, boca adicional.</v>
      </c>
      <c r="I182" s="23">
        <f t="shared" si="3"/>
        <v>294847.76</v>
      </c>
    </row>
    <row r="183" ht="15.0" customHeight="1">
      <c r="A183" s="8">
        <v>221.0</v>
      </c>
      <c r="B183" s="9" t="s">
        <v>1669</v>
      </c>
      <c r="C183" s="10" t="s">
        <v>1676</v>
      </c>
      <c r="D183" s="10"/>
      <c r="E183" s="8" t="s">
        <v>515</v>
      </c>
      <c r="F183" s="11">
        <v>1254917.43</v>
      </c>
      <c r="H183" s="22" t="str">
        <f t="shared" si="1"/>
        <v>Instalaciones de gas Inst. en Fusión completa. Caldera, Horno y Anafe (sin planos)</v>
      </c>
      <c r="I183" s="23">
        <f t="shared" si="3"/>
        <v>1254917.43</v>
      </c>
    </row>
    <row r="184" ht="15.0" customHeight="1">
      <c r="A184" s="4">
        <v>136.0</v>
      </c>
      <c r="B184" s="5" t="s">
        <v>1669</v>
      </c>
      <c r="C184" s="6" t="s">
        <v>1677</v>
      </c>
      <c r="D184" s="6"/>
      <c r="E184" s="4" t="s">
        <v>515</v>
      </c>
      <c r="F184" s="7">
        <v>1505900.89</v>
      </c>
      <c r="H184" s="22" t="str">
        <f t="shared" si="1"/>
        <v>Instalaciones de gas Inst. en Fusión completa. Cocina, termo y 3 calefactores (sin planos)</v>
      </c>
      <c r="I184" s="23">
        <f t="shared" si="3"/>
        <v>1505900.89</v>
      </c>
    </row>
    <row r="185" ht="15.0" customHeight="1">
      <c r="A185" s="8">
        <v>326.0</v>
      </c>
      <c r="B185" s="9" t="s">
        <v>1669</v>
      </c>
      <c r="C185" s="10" t="s">
        <v>1678</v>
      </c>
      <c r="D185" s="10" t="s">
        <v>1654</v>
      </c>
      <c r="E185" s="8" t="s">
        <v>76</v>
      </c>
      <c r="F185" s="11">
        <v>37018.34</v>
      </c>
      <c r="H185" s="22" t="str">
        <f t="shared" si="1"/>
        <v>Instalaciones de gas Inst. en Fusión por metro aéreo y engrampado</v>
      </c>
      <c r="I185" s="23">
        <f t="shared" si="3"/>
        <v>37018.34</v>
      </c>
    </row>
    <row r="186" ht="15.0" customHeight="1">
      <c r="A186" s="4">
        <v>325.0</v>
      </c>
      <c r="B186" s="5" t="s">
        <v>1669</v>
      </c>
      <c r="C186" s="6" t="s">
        <v>1679</v>
      </c>
      <c r="D186" s="6" t="s">
        <v>1654</v>
      </c>
      <c r="E186" s="4" t="s">
        <v>76</v>
      </c>
      <c r="F186" s="7">
        <v>55462.56</v>
      </c>
      <c r="H186" s="22" t="str">
        <f t="shared" si="1"/>
        <v>Instalaciones de gas Inst. en Fusión por metro canalizado</v>
      </c>
      <c r="I186" s="23">
        <f t="shared" si="3"/>
        <v>55462.56</v>
      </c>
    </row>
    <row r="187" ht="15.0" customHeight="1">
      <c r="A187" s="8">
        <v>324.0</v>
      </c>
      <c r="B187" s="9" t="s">
        <v>1669</v>
      </c>
      <c r="C187" s="10" t="s">
        <v>1680</v>
      </c>
      <c r="D187" s="10" t="s">
        <v>1654</v>
      </c>
      <c r="E187" s="8" t="s">
        <v>76</v>
      </c>
      <c r="F187" s="11">
        <v>45461.09</v>
      </c>
      <c r="H187" s="22" t="str">
        <f t="shared" si="1"/>
        <v>Instalaciones de gas Inst. en Fusión por metro zanjeado</v>
      </c>
      <c r="I187" s="23">
        <f t="shared" si="3"/>
        <v>45461.09</v>
      </c>
    </row>
    <row r="188" ht="15.0" customHeight="1">
      <c r="A188" s="4">
        <v>233.0</v>
      </c>
      <c r="B188" s="5" t="s">
        <v>1669</v>
      </c>
      <c r="C188" s="6" t="s">
        <v>1681</v>
      </c>
      <c r="D188" s="6"/>
      <c r="E188" s="4" t="s">
        <v>5</v>
      </c>
      <c r="F188" s="7">
        <v>294847.76</v>
      </c>
      <c r="H188" s="22" t="str">
        <f t="shared" si="1"/>
        <v>Instalaciones de gas Inst. en Fusión, boca adicional.</v>
      </c>
      <c r="I188" s="23">
        <f t="shared" si="3"/>
        <v>294847.76</v>
      </c>
    </row>
    <row r="189" ht="15.0" customHeight="1">
      <c r="A189" s="8">
        <v>220.0</v>
      </c>
      <c r="B189" s="9" t="s">
        <v>1682</v>
      </c>
      <c r="C189" s="10" t="s">
        <v>1683</v>
      </c>
      <c r="D189" s="10" t="s">
        <v>1684</v>
      </c>
      <c r="E189" s="8" t="s">
        <v>5</v>
      </c>
      <c r="F189" s="11">
        <v>25836.55</v>
      </c>
      <c r="H189" s="22" t="str">
        <f t="shared" si="1"/>
        <v>Instalación eléctrica Colocación de artefacto, (con armado) </v>
      </c>
      <c r="I189" s="23">
        <f t="shared" si="3"/>
        <v>25836.55</v>
      </c>
    </row>
    <row r="190" ht="15.0" customHeight="1">
      <c r="A190" s="4">
        <v>453.0</v>
      </c>
      <c r="B190" s="5" t="s">
        <v>1682</v>
      </c>
      <c r="C190" s="6" t="s">
        <v>1685</v>
      </c>
      <c r="D190" s="6" t="s">
        <v>1686</v>
      </c>
      <c r="E190" s="4" t="s">
        <v>5</v>
      </c>
      <c r="F190" s="7">
        <v>22715.91</v>
      </c>
      <c r="H190" s="22" t="str">
        <f t="shared" si="1"/>
        <v>Instalación eléctrica Colocación de Plafón Led 12W</v>
      </c>
      <c r="I190" s="23">
        <f t="shared" si="3"/>
        <v>22715.91</v>
      </c>
    </row>
    <row r="191" ht="15.0" customHeight="1">
      <c r="A191" s="8">
        <v>454.0</v>
      </c>
      <c r="B191" s="9" t="s">
        <v>1682</v>
      </c>
      <c r="C191" s="10" t="s">
        <v>1687</v>
      </c>
      <c r="D191" s="10" t="s">
        <v>1686</v>
      </c>
      <c r="E191" s="8" t="s">
        <v>5</v>
      </c>
      <c r="F191" s="11">
        <v>22715.91</v>
      </c>
      <c r="H191" s="22" t="str">
        <f t="shared" si="1"/>
        <v>Instalación eléctrica Colocación de Plafón Led 18w</v>
      </c>
      <c r="I191" s="23">
        <f t="shared" si="3"/>
        <v>22715.91</v>
      </c>
    </row>
    <row r="192" ht="15.0" customHeight="1">
      <c r="A192" s="4">
        <v>455.0</v>
      </c>
      <c r="B192" s="5" t="s">
        <v>1682</v>
      </c>
      <c r="C192" s="6" t="s">
        <v>1688</v>
      </c>
      <c r="D192" s="6" t="s">
        <v>1686</v>
      </c>
      <c r="E192" s="4" t="s">
        <v>5</v>
      </c>
      <c r="F192" s="7">
        <v>22715.91</v>
      </c>
      <c r="H192" s="22" t="str">
        <f t="shared" si="1"/>
        <v>Instalación eléctrica Colocación de Plafón Led 24w</v>
      </c>
      <c r="I192" s="23">
        <f t="shared" si="3"/>
        <v>22715.91</v>
      </c>
    </row>
    <row r="193" ht="15.0" customHeight="1">
      <c r="A193" s="8">
        <v>137.0</v>
      </c>
      <c r="B193" s="9" t="s">
        <v>1682</v>
      </c>
      <c r="C193" s="10" t="s">
        <v>1689</v>
      </c>
      <c r="D193" s="10"/>
      <c r="E193" s="8" t="s">
        <v>515</v>
      </c>
      <c r="F193" s="11">
        <v>1679374.77</v>
      </c>
      <c r="H193" s="22" t="str">
        <f t="shared" si="1"/>
        <v>Instalación eléctrica Inst. eléctrica para 30 bocas completa (incluye tablero seccional)</v>
      </c>
      <c r="I193" s="23">
        <f t="shared" si="3"/>
        <v>1679374.77</v>
      </c>
    </row>
    <row r="194" ht="15.0" customHeight="1">
      <c r="A194" s="4">
        <v>138.0</v>
      </c>
      <c r="B194" s="5" t="s">
        <v>1682</v>
      </c>
      <c r="C194" s="6" t="s">
        <v>1690</v>
      </c>
      <c r="D194" s="6"/>
      <c r="E194" s="4" t="s">
        <v>515</v>
      </c>
      <c r="F194" s="7">
        <v>2325288.16</v>
      </c>
      <c r="H194" s="22" t="str">
        <f t="shared" si="1"/>
        <v>Instalación eléctrica Inst. eléctrica para 50 bocas completa (incluye tablero seccional)</v>
      </c>
      <c r="I194" s="23">
        <f t="shared" si="3"/>
        <v>2325288.16</v>
      </c>
    </row>
    <row r="195" ht="15.0" customHeight="1">
      <c r="A195" s="8">
        <v>235.0</v>
      </c>
      <c r="B195" s="9" t="s">
        <v>1682</v>
      </c>
      <c r="C195" s="10" t="s">
        <v>1691</v>
      </c>
      <c r="D195" s="10"/>
      <c r="E195" s="8" t="s">
        <v>5</v>
      </c>
      <c r="F195" s="11">
        <v>46505.78</v>
      </c>
      <c r="H195" s="22" t="str">
        <f t="shared" si="1"/>
        <v>Instalación eléctrica Inst. eléctrica, boca adicional iluminación</v>
      </c>
      <c r="I195" s="23">
        <f t="shared" si="3"/>
        <v>46505.78</v>
      </c>
    </row>
    <row r="196" ht="15.0" customHeight="1">
      <c r="A196" s="4">
        <v>236.0</v>
      </c>
      <c r="B196" s="5" t="s">
        <v>1682</v>
      </c>
      <c r="C196" s="6" t="s">
        <v>1692</v>
      </c>
      <c r="D196" s="6"/>
      <c r="E196" s="4" t="s">
        <v>5</v>
      </c>
      <c r="F196" s="7">
        <v>46505.78</v>
      </c>
      <c r="H196" s="22" t="str">
        <f t="shared" si="1"/>
        <v>Instalación eléctrica Inst. eléctrica, boca adicional tomacorriente</v>
      </c>
      <c r="I196" s="23">
        <f t="shared" si="3"/>
        <v>46505.78</v>
      </c>
    </row>
    <row r="197" ht="15.0" customHeight="1">
      <c r="A197" s="8">
        <v>317.0</v>
      </c>
      <c r="B197" s="9" t="s">
        <v>1693</v>
      </c>
      <c r="C197" s="10" t="s">
        <v>1694</v>
      </c>
      <c r="D197" s="10"/>
      <c r="E197" s="8" t="s">
        <v>22</v>
      </c>
      <c r="F197" s="11">
        <v>16793.73</v>
      </c>
      <c r="H197" s="22" t="str">
        <f t="shared" si="1"/>
        <v>Carpetas Alisado de cemento para piso (Esp:2cm)</v>
      </c>
      <c r="I197" s="23">
        <f t="shared" si="3"/>
        <v>16793.73</v>
      </c>
    </row>
    <row r="198" ht="15.0" customHeight="1">
      <c r="A198" s="4">
        <v>250.0</v>
      </c>
      <c r="B198" s="5" t="s">
        <v>1693</v>
      </c>
      <c r="C198" s="6" t="s">
        <v>1695</v>
      </c>
      <c r="D198" s="6"/>
      <c r="E198" s="4" t="s">
        <v>22</v>
      </c>
      <c r="F198" s="7">
        <v>15243.57</v>
      </c>
      <c r="H198" s="22" t="str">
        <f t="shared" si="1"/>
        <v>Carpetas Con Cal s/contrapiso (Esp: 2cm) </v>
      </c>
      <c r="I198" s="23">
        <f t="shared" si="3"/>
        <v>15243.57</v>
      </c>
    </row>
    <row r="199" ht="15.0" customHeight="1">
      <c r="A199" s="8">
        <v>50.0</v>
      </c>
      <c r="B199" s="9" t="s">
        <v>1693</v>
      </c>
      <c r="C199" s="10" t="s">
        <v>1696</v>
      </c>
      <c r="D199" s="10"/>
      <c r="E199" s="8" t="s">
        <v>22</v>
      </c>
      <c r="F199" s="11">
        <v>15243.57</v>
      </c>
      <c r="H199" s="22" t="str">
        <f t="shared" si="1"/>
        <v>Carpetas Hidrofuga s/contrapiso (Esp: 2cm)</v>
      </c>
      <c r="I199" s="23">
        <f t="shared" si="3"/>
        <v>15243.57</v>
      </c>
    </row>
    <row r="200" ht="15.0" customHeight="1">
      <c r="A200" s="4">
        <v>51.0</v>
      </c>
      <c r="B200" s="5" t="s">
        <v>1697</v>
      </c>
      <c r="C200" s="6" t="s">
        <v>1698</v>
      </c>
      <c r="D200" s="6"/>
      <c r="E200" s="4" t="s">
        <v>22</v>
      </c>
      <c r="F200" s="7">
        <v>21542.73</v>
      </c>
      <c r="H200" s="22" t="str">
        <f t="shared" si="1"/>
        <v>Pisos Cerámico, Porcellanato y Loseta Cerámico 20x20</v>
      </c>
      <c r="I200" s="23">
        <f t="shared" si="3"/>
        <v>21542.73</v>
      </c>
    </row>
    <row r="201" ht="15.0" customHeight="1">
      <c r="A201" s="8">
        <v>276.0</v>
      </c>
      <c r="B201" s="9" t="s">
        <v>1697</v>
      </c>
      <c r="C201" s="10" t="s">
        <v>1699</v>
      </c>
      <c r="D201" s="10"/>
      <c r="E201" s="8" t="s">
        <v>22</v>
      </c>
      <c r="F201" s="11">
        <v>26611.62</v>
      </c>
      <c r="H201" s="22" t="str">
        <f t="shared" si="1"/>
        <v>Pisos Cerámico, Porcellanato y Loseta Cerámico 40x40</v>
      </c>
      <c r="I201" s="23">
        <f t="shared" si="3"/>
        <v>26611.62</v>
      </c>
    </row>
    <row r="202" ht="15.0" customHeight="1">
      <c r="A202" s="4">
        <v>277.0</v>
      </c>
      <c r="B202" s="5" t="s">
        <v>1697</v>
      </c>
      <c r="C202" s="6" t="s">
        <v>1700</v>
      </c>
      <c r="D202" s="6"/>
      <c r="E202" s="4" t="s">
        <v>22</v>
      </c>
      <c r="F202" s="7">
        <v>34214.93</v>
      </c>
      <c r="H202" s="22" t="str">
        <f t="shared" si="1"/>
        <v>Pisos Cerámico, Porcellanato y Loseta Cerámico 60x60</v>
      </c>
      <c r="I202" s="23">
        <f t="shared" si="3"/>
        <v>34214.93</v>
      </c>
    </row>
    <row r="203" ht="15.0" customHeight="1">
      <c r="A203" s="8">
        <v>319.0</v>
      </c>
      <c r="B203" s="9" t="s">
        <v>1697</v>
      </c>
      <c r="C203" s="10" t="s">
        <v>1701</v>
      </c>
      <c r="D203" s="10"/>
      <c r="E203" s="8" t="s">
        <v>22</v>
      </c>
      <c r="F203" s="11">
        <v>34214.93</v>
      </c>
      <c r="H203" s="22" t="str">
        <f t="shared" si="1"/>
        <v>Pisos Cerámico, Porcellanato y Loseta Cerámico Símil Madera 22x90</v>
      </c>
      <c r="I203" s="23">
        <f t="shared" si="3"/>
        <v>34214.93</v>
      </c>
    </row>
    <row r="204" ht="15.0" customHeight="1">
      <c r="A204" s="4">
        <v>69.0</v>
      </c>
      <c r="B204" s="5" t="s">
        <v>1697</v>
      </c>
      <c r="C204" s="6" t="s">
        <v>1702</v>
      </c>
      <c r="D204" s="6"/>
      <c r="E204" s="4" t="s">
        <v>22</v>
      </c>
      <c r="F204" s="7">
        <v>31680.54</v>
      </c>
      <c r="H204" s="22" t="str">
        <f t="shared" si="1"/>
        <v>Pisos Cerámico, Porcellanato y Loseta Loseta de Vereda 40x40 (Calcáreos)</v>
      </c>
      <c r="I204" s="23">
        <f t="shared" si="3"/>
        <v>31680.54</v>
      </c>
    </row>
    <row r="205" ht="15.0" customHeight="1">
      <c r="A205" s="8">
        <v>280.0</v>
      </c>
      <c r="B205" s="9" t="s">
        <v>1697</v>
      </c>
      <c r="C205" s="10" t="s">
        <v>1703</v>
      </c>
      <c r="D205" s="10"/>
      <c r="E205" s="8" t="s">
        <v>22</v>
      </c>
      <c r="F205" s="11">
        <v>31680.54</v>
      </c>
      <c r="H205" s="22" t="str">
        <f t="shared" si="1"/>
        <v>Pisos Cerámico, Porcellanato y Loseta Loseta de Vereda 40x40 (Graníticos)</v>
      </c>
      <c r="I205" s="23">
        <f t="shared" si="3"/>
        <v>31680.54</v>
      </c>
    </row>
    <row r="206" ht="15.0" customHeight="1">
      <c r="A206" s="4">
        <v>281.0</v>
      </c>
      <c r="B206" s="5" t="s">
        <v>1697</v>
      </c>
      <c r="C206" s="6" t="s">
        <v>1704</v>
      </c>
      <c r="D206" s="6"/>
      <c r="E206" s="4" t="s">
        <v>22</v>
      </c>
      <c r="F206" s="7">
        <v>31680.54</v>
      </c>
      <c r="H206" s="22" t="str">
        <f t="shared" si="1"/>
        <v>Pisos Cerámico, Porcellanato y Loseta Loseta de Vereda 40x40 (Piedra Lavada)</v>
      </c>
      <c r="I206" s="23">
        <f t="shared" si="3"/>
        <v>31680.54</v>
      </c>
    </row>
    <row r="207" ht="15.0" customHeight="1">
      <c r="A207" s="8">
        <v>52.0</v>
      </c>
      <c r="B207" s="9" t="s">
        <v>1697</v>
      </c>
      <c r="C207" s="10" t="s">
        <v>1705</v>
      </c>
      <c r="D207" s="10"/>
      <c r="E207" s="8" t="s">
        <v>22</v>
      </c>
      <c r="F207" s="11">
        <v>25344.42</v>
      </c>
      <c r="H207" s="22" t="str">
        <f t="shared" si="1"/>
        <v>Pisos Cerámico, Porcellanato y Loseta Porcellanato 30x30</v>
      </c>
      <c r="I207" s="23">
        <f t="shared" si="3"/>
        <v>25344.42</v>
      </c>
    </row>
    <row r="208" ht="15.0" customHeight="1">
      <c r="A208" s="4">
        <v>278.0</v>
      </c>
      <c r="B208" s="5" t="s">
        <v>1697</v>
      </c>
      <c r="C208" s="6" t="s">
        <v>1706</v>
      </c>
      <c r="D208" s="6"/>
      <c r="E208" s="4" t="s">
        <v>22</v>
      </c>
      <c r="F208" s="7">
        <v>30413.33</v>
      </c>
      <c r="H208" s="22" t="str">
        <f t="shared" si="1"/>
        <v>Pisos Cerámico, Porcellanato y Loseta Porcellanato 40x40</v>
      </c>
      <c r="I208" s="23">
        <f t="shared" si="3"/>
        <v>30413.33</v>
      </c>
    </row>
    <row r="209" ht="15.0" customHeight="1">
      <c r="A209" s="8">
        <v>279.0</v>
      </c>
      <c r="B209" s="9" t="s">
        <v>1697</v>
      </c>
      <c r="C209" s="10" t="s">
        <v>1707</v>
      </c>
      <c r="D209" s="10"/>
      <c r="E209" s="8" t="s">
        <v>22</v>
      </c>
      <c r="F209" s="11">
        <v>38016.63</v>
      </c>
      <c r="H209" s="22" t="str">
        <f t="shared" si="1"/>
        <v>Pisos Cerámico, Porcellanato y Loseta Porcellanato 60x60</v>
      </c>
      <c r="I209" s="23">
        <f t="shared" si="3"/>
        <v>38016.63</v>
      </c>
    </row>
    <row r="210" ht="15.0" customHeight="1">
      <c r="A210" s="4">
        <v>321.0</v>
      </c>
      <c r="B210" s="5" t="s">
        <v>1697</v>
      </c>
      <c r="C210" s="6" t="s">
        <v>1708</v>
      </c>
      <c r="D210" s="6"/>
      <c r="E210" s="4" t="s">
        <v>22</v>
      </c>
      <c r="F210" s="7">
        <v>38016.63</v>
      </c>
      <c r="H210" s="22" t="str">
        <f t="shared" si="1"/>
        <v>Pisos Cerámico, Porcellanato y Loseta Porcellanato 80x80</v>
      </c>
      <c r="I210" s="23">
        <f t="shared" si="3"/>
        <v>38016.63</v>
      </c>
    </row>
    <row r="211" ht="15.0" customHeight="1">
      <c r="A211" s="8">
        <v>320.0</v>
      </c>
      <c r="B211" s="9" t="s">
        <v>1697</v>
      </c>
      <c r="C211" s="10" t="s">
        <v>1709</v>
      </c>
      <c r="D211" s="10"/>
      <c r="E211" s="8" t="s">
        <v>22</v>
      </c>
      <c r="F211" s="11">
        <v>38016.63</v>
      </c>
      <c r="H211" s="22" t="str">
        <f t="shared" si="1"/>
        <v>Pisos Cerámico, Porcellanato y Loseta Porcellanato Símil Madera 20x120</v>
      </c>
      <c r="I211" s="23">
        <f t="shared" si="3"/>
        <v>38016.63</v>
      </c>
    </row>
    <row r="212" ht="15.0" customHeight="1">
      <c r="A212" s="4">
        <v>53.0</v>
      </c>
      <c r="B212" s="5" t="s">
        <v>1710</v>
      </c>
      <c r="C212" s="6" t="s">
        <v>1711</v>
      </c>
      <c r="D212" s="6"/>
      <c r="E212" s="4" t="s">
        <v>22</v>
      </c>
      <c r="F212" s="7">
        <v>30413.33</v>
      </c>
      <c r="H212" s="22" t="str">
        <f t="shared" si="1"/>
        <v>Pisos Alfombra y Flotantes Alfombra</v>
      </c>
      <c r="I212" s="23">
        <f t="shared" si="3"/>
        <v>30413.33</v>
      </c>
    </row>
    <row r="213" ht="15.0" customHeight="1">
      <c r="A213" s="8">
        <v>54.0</v>
      </c>
      <c r="B213" s="9" t="s">
        <v>1710</v>
      </c>
      <c r="C213" s="10" t="s">
        <v>1712</v>
      </c>
      <c r="D213" s="10"/>
      <c r="E213" s="8" t="s">
        <v>22</v>
      </c>
      <c r="F213" s="11">
        <v>25344.42</v>
      </c>
      <c r="H213" s="22" t="str">
        <f t="shared" si="1"/>
        <v>Pisos Alfombra y Flotantes Piso flotante, c/manta</v>
      </c>
      <c r="I213" s="23">
        <f t="shared" si="3"/>
        <v>25344.42</v>
      </c>
    </row>
    <row r="214" ht="15.0" customHeight="1">
      <c r="A214" s="4">
        <v>273.0</v>
      </c>
      <c r="B214" s="5" t="s">
        <v>1713</v>
      </c>
      <c r="C214" s="6" t="s">
        <v>1714</v>
      </c>
      <c r="D214" s="6"/>
      <c r="E214" s="4" t="s">
        <v>76</v>
      </c>
      <c r="F214" s="7">
        <v>15059.01</v>
      </c>
      <c r="H214" s="22" t="str">
        <f t="shared" si="1"/>
        <v>Pisos Alisado de Cemento, Microcemento, Atérmicos y Deck atérmico Borde Curvo </v>
      </c>
      <c r="I214" s="23">
        <f t="shared" si="3"/>
        <v>15059.01</v>
      </c>
    </row>
    <row r="215" ht="15.0" customHeight="1">
      <c r="A215" s="8">
        <v>272.0</v>
      </c>
      <c r="B215" s="9" t="s">
        <v>1713</v>
      </c>
      <c r="C215" s="10" t="s">
        <v>1715</v>
      </c>
      <c r="D215" s="10"/>
      <c r="E215" s="8" t="s">
        <v>22</v>
      </c>
      <c r="F215" s="11">
        <v>30118.05</v>
      </c>
      <c r="H215" s="22" t="str">
        <f t="shared" si="1"/>
        <v>Pisos Alisado de Cemento, Microcemento, Atérmicos y Deck Atérmico Borde Recto</v>
      </c>
      <c r="I215" s="23">
        <f t="shared" si="3"/>
        <v>30118.05</v>
      </c>
    </row>
    <row r="216" ht="15.0" customHeight="1">
      <c r="A216" s="4">
        <v>68.0</v>
      </c>
      <c r="B216" s="5" t="s">
        <v>1713</v>
      </c>
      <c r="C216" s="6" t="s">
        <v>1716</v>
      </c>
      <c r="D216" s="6"/>
      <c r="E216" s="4" t="s">
        <v>22</v>
      </c>
      <c r="F216" s="7">
        <v>25098.36</v>
      </c>
      <c r="H216" s="22" t="str">
        <f t="shared" si="1"/>
        <v>Pisos Alisado de Cemento, Microcemento, Atérmicos y Deck Cemento alisado</v>
      </c>
      <c r="I216" s="23">
        <f t="shared" si="3"/>
        <v>25098.36</v>
      </c>
    </row>
    <row r="217" ht="15.0" customHeight="1">
      <c r="A217" s="8">
        <v>243.0</v>
      </c>
      <c r="B217" s="9" t="s">
        <v>1713</v>
      </c>
      <c r="C217" s="10" t="s">
        <v>1717</v>
      </c>
      <c r="D217" s="10" t="s">
        <v>1718</v>
      </c>
      <c r="E217" s="8" t="s">
        <v>22</v>
      </c>
      <c r="F217" s="11">
        <v>37647.55</v>
      </c>
      <c r="H217" s="22" t="str">
        <f t="shared" si="1"/>
        <v>Pisos Alisado de Cemento, Microcemento, Atérmicos y Deck Deck de madera</v>
      </c>
      <c r="I217" s="23">
        <f t="shared" si="3"/>
        <v>37647.55</v>
      </c>
    </row>
    <row r="218" ht="15.0" customHeight="1">
      <c r="A218" s="4">
        <v>244.0</v>
      </c>
      <c r="B218" s="5" t="s">
        <v>1713</v>
      </c>
      <c r="C218" s="6" t="s">
        <v>1719</v>
      </c>
      <c r="D218" s="6" t="s">
        <v>1720</v>
      </c>
      <c r="E218" s="4" t="s">
        <v>22</v>
      </c>
      <c r="F218" s="7">
        <v>31372.96</v>
      </c>
      <c r="H218" s="22" t="str">
        <f t="shared" si="1"/>
        <v>Pisos Alisado de Cemento, Microcemento, Atérmicos y Deck Microcemento (esp.:2mm)</v>
      </c>
      <c r="I218" s="23">
        <f t="shared" si="3"/>
        <v>31372.96</v>
      </c>
    </row>
    <row r="219" ht="15.0" customHeight="1">
      <c r="A219" s="8">
        <v>82.0</v>
      </c>
      <c r="B219" s="9" t="s">
        <v>1721</v>
      </c>
      <c r="C219" s="10" t="s">
        <v>1722</v>
      </c>
      <c r="D219" s="10"/>
      <c r="E219" s="8" t="s">
        <v>76</v>
      </c>
      <c r="F219" s="11">
        <v>12549.18</v>
      </c>
      <c r="H219" s="22" t="str">
        <f t="shared" si="1"/>
        <v>Zócalos y Contramarcos Contramarco de madera 1/2´ liso</v>
      </c>
      <c r="I219" s="23">
        <f t="shared" si="3"/>
        <v>12549.18</v>
      </c>
    </row>
    <row r="220" ht="15.0" customHeight="1">
      <c r="A220" s="4">
        <v>458.0</v>
      </c>
      <c r="B220" s="5" t="s">
        <v>1721</v>
      </c>
      <c r="C220" s="6" t="s">
        <v>1723</v>
      </c>
      <c r="D220" s="6"/>
      <c r="E220" s="4" t="s">
        <v>76</v>
      </c>
      <c r="F220" s="7">
        <v>12548.7</v>
      </c>
      <c r="H220" s="22" t="str">
        <f t="shared" si="1"/>
        <v>Zócalos y Contramarcos Zócalo Calcáreo H:10cm</v>
      </c>
      <c r="I220" s="23">
        <f t="shared" si="3"/>
        <v>12548.7</v>
      </c>
    </row>
    <row r="221" ht="15.0" customHeight="1">
      <c r="A221" s="8">
        <v>70.0</v>
      </c>
      <c r="B221" s="9" t="s">
        <v>1721</v>
      </c>
      <c r="C221" s="10" t="s">
        <v>1724</v>
      </c>
      <c r="D221" s="10"/>
      <c r="E221" s="8" t="s">
        <v>76</v>
      </c>
      <c r="F221" s="11">
        <v>8784.41</v>
      </c>
      <c r="H221" s="22" t="str">
        <f t="shared" si="1"/>
        <v>Zócalos y Contramarcos Zócalo Cemento alisado H:10cm</v>
      </c>
      <c r="I221" s="23">
        <f t="shared" si="3"/>
        <v>8784.41</v>
      </c>
    </row>
    <row r="222" ht="15.0" customHeight="1">
      <c r="A222" s="4">
        <v>72.0</v>
      </c>
      <c r="B222" s="5" t="s">
        <v>1721</v>
      </c>
      <c r="C222" s="6" t="s">
        <v>1725</v>
      </c>
      <c r="D222" s="6"/>
      <c r="E222" s="4" t="s">
        <v>76</v>
      </c>
      <c r="F222" s="7">
        <v>10039.37</v>
      </c>
      <c r="H222" s="22" t="str">
        <f t="shared" si="1"/>
        <v>Zócalos y Contramarcos Zócalo Cerámico H:7cm</v>
      </c>
      <c r="I222" s="23">
        <f t="shared" si="3"/>
        <v>10039.37</v>
      </c>
    </row>
    <row r="223" ht="15.0" customHeight="1">
      <c r="A223" s="8">
        <v>457.0</v>
      </c>
      <c r="B223" s="9" t="s">
        <v>1721</v>
      </c>
      <c r="C223" s="10" t="s">
        <v>1726</v>
      </c>
      <c r="D223" s="10"/>
      <c r="E223" s="8" t="s">
        <v>76</v>
      </c>
      <c r="F223" s="11">
        <v>12548.7</v>
      </c>
      <c r="H223" s="22" t="str">
        <f t="shared" si="1"/>
        <v>Zócalos y Contramarcos Zócalo Granítico H:10cm</v>
      </c>
      <c r="I223" s="23">
        <f t="shared" si="3"/>
        <v>12548.7</v>
      </c>
    </row>
    <row r="224" ht="15.0" customHeight="1">
      <c r="A224" s="4">
        <v>73.0</v>
      </c>
      <c r="B224" s="5" t="s">
        <v>1721</v>
      </c>
      <c r="C224" s="6" t="s">
        <v>1727</v>
      </c>
      <c r="D224" s="6"/>
      <c r="E224" s="4" t="s">
        <v>76</v>
      </c>
      <c r="F224" s="7">
        <v>9035.39</v>
      </c>
      <c r="H224" s="22" t="str">
        <f t="shared" si="1"/>
        <v>Zócalos y Contramarcos Zócalo Madera 3/4´ liso</v>
      </c>
      <c r="I224" s="23">
        <f t="shared" si="3"/>
        <v>9035.39</v>
      </c>
    </row>
    <row r="225" ht="15.0" customHeight="1">
      <c r="A225" s="8">
        <v>71.0</v>
      </c>
      <c r="B225" s="9" t="s">
        <v>1721</v>
      </c>
      <c r="C225" s="10" t="s">
        <v>1728</v>
      </c>
      <c r="D225" s="10"/>
      <c r="E225" s="8" t="s">
        <v>76</v>
      </c>
      <c r="F225" s="11">
        <v>12549.18</v>
      </c>
      <c r="H225" s="22" t="str">
        <f t="shared" si="1"/>
        <v>Zócalos y Contramarcos Zócalo Porcellanato H:7cm</v>
      </c>
      <c r="I225" s="23">
        <f t="shared" si="3"/>
        <v>12549.18</v>
      </c>
    </row>
    <row r="226" ht="15.0" customHeight="1">
      <c r="A226" s="4">
        <v>55.0</v>
      </c>
      <c r="B226" s="5" t="s">
        <v>1729</v>
      </c>
      <c r="C226" s="6" t="s">
        <v>1698</v>
      </c>
      <c r="D226" s="6"/>
      <c r="E226" s="4" t="s">
        <v>22</v>
      </c>
      <c r="F226" s="7">
        <v>31325.72</v>
      </c>
      <c r="H226" s="22" t="str">
        <f t="shared" si="1"/>
        <v>Revestimientos Cerámico, Porcellanato, Venecita y Refractario Cerámico 20x20</v>
      </c>
      <c r="I226" s="23">
        <f t="shared" si="3"/>
        <v>31325.72</v>
      </c>
    </row>
    <row r="227" ht="15.0" customHeight="1">
      <c r="A227" s="8">
        <v>282.0</v>
      </c>
      <c r="B227" s="9" t="s">
        <v>1729</v>
      </c>
      <c r="C227" s="10" t="s">
        <v>1699</v>
      </c>
      <c r="D227" s="10"/>
      <c r="E227" s="8" t="s">
        <v>22</v>
      </c>
      <c r="F227" s="11">
        <v>36546.63</v>
      </c>
      <c r="H227" s="22" t="str">
        <f t="shared" si="1"/>
        <v>Revestimientos Cerámico, Porcellanato, Venecita y Refractario Cerámico 40x40</v>
      </c>
      <c r="I227" s="23">
        <f t="shared" si="3"/>
        <v>36546.63</v>
      </c>
    </row>
    <row r="228" ht="15.0" customHeight="1">
      <c r="A228" s="4">
        <v>283.0</v>
      </c>
      <c r="B228" s="5" t="s">
        <v>1729</v>
      </c>
      <c r="C228" s="6" t="s">
        <v>1700</v>
      </c>
      <c r="D228" s="6"/>
      <c r="E228" s="4" t="s">
        <v>22</v>
      </c>
      <c r="F228" s="7">
        <v>44378.05</v>
      </c>
      <c r="H228" s="22" t="str">
        <f t="shared" si="1"/>
        <v>Revestimientos Cerámico, Porcellanato, Venecita y Refractario Cerámico 60x60</v>
      </c>
      <c r="I228" s="23">
        <f t="shared" si="3"/>
        <v>44378.05</v>
      </c>
    </row>
    <row r="229" ht="15.0" customHeight="1">
      <c r="A229" s="8">
        <v>56.0</v>
      </c>
      <c r="B229" s="9" t="s">
        <v>1729</v>
      </c>
      <c r="C229" s="10" t="s">
        <v>1705</v>
      </c>
      <c r="D229" s="10"/>
      <c r="E229" s="8" t="s">
        <v>22</v>
      </c>
      <c r="F229" s="11">
        <v>39157.14</v>
      </c>
      <c r="H229" s="22" t="str">
        <f t="shared" si="1"/>
        <v>Revestimientos Cerámico, Porcellanato, Venecita y Refractario Porcellanato 30x30</v>
      </c>
      <c r="I229" s="23">
        <f t="shared" si="3"/>
        <v>39157.14</v>
      </c>
    </row>
    <row r="230" ht="15.0" customHeight="1">
      <c r="A230" s="4">
        <v>284.0</v>
      </c>
      <c r="B230" s="5" t="s">
        <v>1729</v>
      </c>
      <c r="C230" s="6" t="s">
        <v>1706</v>
      </c>
      <c r="D230" s="6"/>
      <c r="E230" s="4" t="s">
        <v>22</v>
      </c>
      <c r="F230" s="7">
        <v>44378.05</v>
      </c>
      <c r="H230" s="22" t="str">
        <f t="shared" si="1"/>
        <v>Revestimientos Cerámico, Porcellanato, Venecita y Refractario Porcellanato 40x40</v>
      </c>
      <c r="I230" s="23">
        <f t="shared" si="3"/>
        <v>44378.05</v>
      </c>
    </row>
    <row r="231" ht="15.0" customHeight="1">
      <c r="A231" s="8">
        <v>285.0</v>
      </c>
      <c r="B231" s="9" t="s">
        <v>1729</v>
      </c>
      <c r="C231" s="10" t="s">
        <v>1707</v>
      </c>
      <c r="D231" s="10"/>
      <c r="E231" s="8" t="s">
        <v>22</v>
      </c>
      <c r="F231" s="11">
        <v>52209.47</v>
      </c>
      <c r="H231" s="22" t="str">
        <f t="shared" si="1"/>
        <v>Revestimientos Cerámico, Porcellanato, Venecita y Refractario Porcellanato 60x60</v>
      </c>
      <c r="I231" s="23">
        <f t="shared" si="3"/>
        <v>52209.47</v>
      </c>
    </row>
    <row r="232" ht="15.0" customHeight="1">
      <c r="A232" s="4">
        <v>269.0</v>
      </c>
      <c r="B232" s="5" t="s">
        <v>1729</v>
      </c>
      <c r="C232" s="6" t="s">
        <v>1730</v>
      </c>
      <c r="D232" s="6"/>
      <c r="E232" s="4" t="s">
        <v>76</v>
      </c>
      <c r="F232" s="7">
        <v>13052.38</v>
      </c>
      <c r="H232" s="22" t="str">
        <f t="shared" si="1"/>
        <v>Revestimientos Cerámico, Porcellanato, Venecita y Refractario Refractario Esquinero corto 15 x 6 x 2.5cm.</v>
      </c>
      <c r="I232" s="23">
        <f t="shared" si="3"/>
        <v>13052.38</v>
      </c>
    </row>
    <row r="233" ht="15.0" customHeight="1">
      <c r="A233" s="8">
        <v>268.0</v>
      </c>
      <c r="B233" s="9" t="s">
        <v>1729</v>
      </c>
      <c r="C233" s="10" t="s">
        <v>1731</v>
      </c>
      <c r="D233" s="10"/>
      <c r="E233" s="8" t="s">
        <v>22</v>
      </c>
      <c r="F233" s="11">
        <v>26104.76</v>
      </c>
      <c r="H233" s="22" t="str">
        <f t="shared" si="1"/>
        <v>Revestimientos Cerámico, Porcellanato, Venecita y Refractario Refractario Tejuela 11,5 x 23 x 2 cm.</v>
      </c>
      <c r="I233" s="23">
        <f t="shared" si="3"/>
        <v>26104.76</v>
      </c>
    </row>
    <row r="234" ht="15.0" customHeight="1">
      <c r="A234" s="4">
        <v>74.0</v>
      </c>
      <c r="B234" s="5" t="s">
        <v>1729</v>
      </c>
      <c r="C234" s="6" t="s">
        <v>1732</v>
      </c>
      <c r="D234" s="6"/>
      <c r="E234" s="4" t="s">
        <v>22</v>
      </c>
      <c r="F234" s="7">
        <v>52209.47</v>
      </c>
      <c r="H234" s="22" t="str">
        <f t="shared" si="1"/>
        <v>Revestimientos Cerámico, Porcellanato, Venecita y Refractario Venecitas (común)</v>
      </c>
      <c r="I234" s="23">
        <f t="shared" si="3"/>
        <v>52209.47</v>
      </c>
    </row>
    <row r="235" ht="15.0" customHeight="1">
      <c r="A235" s="8">
        <v>75.0</v>
      </c>
      <c r="B235" s="9" t="s">
        <v>1729</v>
      </c>
      <c r="C235" s="10" t="s">
        <v>1733</v>
      </c>
      <c r="D235" s="10"/>
      <c r="E235" s="8" t="s">
        <v>22</v>
      </c>
      <c r="F235" s="11">
        <v>52209.47</v>
      </c>
      <c r="H235" s="22" t="str">
        <f t="shared" si="1"/>
        <v>Revestimientos Cerámico, Porcellanato, Venecita y Refractario Venecitas (vidrio)</v>
      </c>
      <c r="I235" s="23">
        <f t="shared" si="3"/>
        <v>52209.47</v>
      </c>
    </row>
    <row r="236" ht="15.0" customHeight="1">
      <c r="A236" s="4">
        <v>291.0</v>
      </c>
      <c r="B236" s="5" t="s">
        <v>1734</v>
      </c>
      <c r="C236" s="6" t="s">
        <v>1735</v>
      </c>
      <c r="D236" s="6"/>
      <c r="E236" s="4" t="s">
        <v>22</v>
      </c>
      <c r="F236" s="7">
        <v>39529.93</v>
      </c>
      <c r="H236" s="22" t="str">
        <f t="shared" si="1"/>
        <v>Revestimientos Piedra y Laja Laja Irregular La Rioja</v>
      </c>
      <c r="I236" s="23">
        <f t="shared" si="3"/>
        <v>39529.93</v>
      </c>
    </row>
    <row r="237" ht="15.0" customHeight="1">
      <c r="A237" s="8">
        <v>289.0</v>
      </c>
      <c r="B237" s="9" t="s">
        <v>1734</v>
      </c>
      <c r="C237" s="10" t="s">
        <v>1736</v>
      </c>
      <c r="D237" s="10"/>
      <c r="E237" s="8" t="s">
        <v>22</v>
      </c>
      <c r="F237" s="11">
        <v>39529.93</v>
      </c>
      <c r="H237" s="22" t="str">
        <f t="shared" si="1"/>
        <v>Revestimientos Piedra y Laja Laja Irregular Neuquén Zapala</v>
      </c>
      <c r="I237" s="23">
        <f t="shared" si="3"/>
        <v>39529.93</v>
      </c>
    </row>
    <row r="238" ht="15.0" customHeight="1">
      <c r="A238" s="4">
        <v>290.0</v>
      </c>
      <c r="B238" s="5" t="s">
        <v>1734</v>
      </c>
      <c r="C238" s="6" t="s">
        <v>1737</v>
      </c>
      <c r="D238" s="6"/>
      <c r="E238" s="4" t="s">
        <v>22</v>
      </c>
      <c r="F238" s="7">
        <v>39529.93</v>
      </c>
      <c r="H238" s="22" t="str">
        <f t="shared" si="1"/>
        <v>Revestimientos Piedra y Laja Laja Irregular San Juan</v>
      </c>
      <c r="I238" s="23">
        <f t="shared" si="3"/>
        <v>39529.93</v>
      </c>
    </row>
    <row r="239" ht="15.0" customHeight="1">
      <c r="A239" s="8">
        <v>77.0</v>
      </c>
      <c r="B239" s="9" t="s">
        <v>1734</v>
      </c>
      <c r="C239" s="10" t="s">
        <v>1738</v>
      </c>
      <c r="D239" s="10"/>
      <c r="E239" s="8" t="s">
        <v>22</v>
      </c>
      <c r="F239" s="11">
        <v>63247.82</v>
      </c>
      <c r="H239" s="22" t="str">
        <f t="shared" si="1"/>
        <v>Revestimientos Piedra y Laja Murete Rustico Piedra Bariloche</v>
      </c>
      <c r="I239" s="23">
        <f t="shared" si="3"/>
        <v>63247.82</v>
      </c>
    </row>
    <row r="240" ht="15.0" customHeight="1">
      <c r="A240" s="4">
        <v>288.0</v>
      </c>
      <c r="B240" s="5" t="s">
        <v>1734</v>
      </c>
      <c r="C240" s="6" t="s">
        <v>1739</v>
      </c>
      <c r="D240" s="6"/>
      <c r="E240" s="4" t="s">
        <v>22</v>
      </c>
      <c r="F240" s="7">
        <v>63247.82</v>
      </c>
      <c r="H240" s="22" t="str">
        <f t="shared" si="1"/>
        <v>Revestimientos Piedra y Laja Murete Rustico Piedra Neuquén Zapala</v>
      </c>
      <c r="I240" s="23">
        <f t="shared" si="3"/>
        <v>63247.82</v>
      </c>
    </row>
    <row r="241" ht="15.0" customHeight="1">
      <c r="A241" s="8">
        <v>287.0</v>
      </c>
      <c r="B241" s="9" t="s">
        <v>1734</v>
      </c>
      <c r="C241" s="10" t="s">
        <v>1740</v>
      </c>
      <c r="D241" s="10"/>
      <c r="E241" s="8" t="s">
        <v>22</v>
      </c>
      <c r="F241" s="11">
        <v>63247.82</v>
      </c>
      <c r="H241" s="22" t="str">
        <f t="shared" si="1"/>
        <v>Revestimientos Piedra y Laja Murete Rustico Piedra San Juan</v>
      </c>
      <c r="I241" s="23">
        <f t="shared" si="3"/>
        <v>63247.82</v>
      </c>
    </row>
    <row r="242" ht="15.0" customHeight="1">
      <c r="A242" s="4">
        <v>286.0</v>
      </c>
      <c r="B242" s="5" t="s">
        <v>1734</v>
      </c>
      <c r="C242" s="6" t="s">
        <v>1741</v>
      </c>
      <c r="D242" s="6"/>
      <c r="E242" s="4" t="s">
        <v>22</v>
      </c>
      <c r="F242" s="7">
        <v>63247.82</v>
      </c>
      <c r="H242" s="22" t="str">
        <f t="shared" si="1"/>
        <v>Revestimientos Piedra y Laja Murete Rustico Piedra San Luis</v>
      </c>
      <c r="I242" s="23">
        <f t="shared" si="3"/>
        <v>63247.82</v>
      </c>
    </row>
    <row r="243" ht="15.0" customHeight="1">
      <c r="A243" s="8">
        <v>76.0</v>
      </c>
      <c r="B243" s="9" t="s">
        <v>1742</v>
      </c>
      <c r="C243" s="10" t="s">
        <v>1743</v>
      </c>
      <c r="D243" s="10"/>
      <c r="E243" s="8" t="s">
        <v>22</v>
      </c>
      <c r="F243" s="11">
        <v>37278.45</v>
      </c>
      <c r="H243" s="22" t="str">
        <f t="shared" si="1"/>
        <v>Revestimientos Texturado Plástico Tipo Super Iggam</v>
      </c>
      <c r="I243" s="23">
        <f t="shared" si="3"/>
        <v>37278.45</v>
      </c>
    </row>
    <row r="244" ht="15.0" customHeight="1">
      <c r="A244" s="4">
        <v>207.0</v>
      </c>
      <c r="B244" s="5" t="s">
        <v>1742</v>
      </c>
      <c r="C244" s="6" t="s">
        <v>1744</v>
      </c>
      <c r="D244" s="6" t="s">
        <v>1745</v>
      </c>
      <c r="E244" s="4" t="s">
        <v>22</v>
      </c>
      <c r="F244" s="7">
        <v>16153.96</v>
      </c>
      <c r="H244" s="22" t="str">
        <f t="shared" si="1"/>
        <v>Revestimientos Texturado Texturado 1 Travertino/Rulato (Fino)</v>
      </c>
      <c r="I244" s="23">
        <f t="shared" si="3"/>
        <v>16153.96</v>
      </c>
    </row>
    <row r="245" ht="15.0" customHeight="1">
      <c r="A245" s="8">
        <v>208.0</v>
      </c>
      <c r="B245" s="9" t="s">
        <v>1742</v>
      </c>
      <c r="C245" s="10" t="s">
        <v>1746</v>
      </c>
      <c r="D245" s="10" t="s">
        <v>1745</v>
      </c>
      <c r="E245" s="8" t="s">
        <v>22</v>
      </c>
      <c r="F245" s="11">
        <v>18639.21</v>
      </c>
      <c r="H245" s="22" t="str">
        <f t="shared" si="1"/>
        <v>Revestimientos Texturado Texturado 2 Travertino/Rulato (Medio) </v>
      </c>
      <c r="I245" s="23">
        <f t="shared" si="3"/>
        <v>18639.21</v>
      </c>
    </row>
    <row r="246" ht="15.0" customHeight="1">
      <c r="A246" s="4">
        <v>209.0</v>
      </c>
      <c r="B246" s="5" t="s">
        <v>1742</v>
      </c>
      <c r="C246" s="6" t="s">
        <v>1747</v>
      </c>
      <c r="D246" s="6" t="s">
        <v>1745</v>
      </c>
      <c r="E246" s="4" t="s">
        <v>22</v>
      </c>
      <c r="F246" s="7">
        <v>21124.42</v>
      </c>
      <c r="H246" s="22" t="str">
        <f t="shared" si="1"/>
        <v>Revestimientos Texturado Texturado 3 Travertino/Rulato (Grueso)</v>
      </c>
      <c r="I246" s="23">
        <f t="shared" si="3"/>
        <v>21124.42</v>
      </c>
    </row>
    <row r="247" ht="15.0" customHeight="1">
      <c r="A247" s="8">
        <v>210.0</v>
      </c>
      <c r="B247" s="9" t="s">
        <v>1742</v>
      </c>
      <c r="C247" s="10" t="s">
        <v>1748</v>
      </c>
      <c r="D247" s="10" t="s">
        <v>1745</v>
      </c>
      <c r="E247" s="8" t="s">
        <v>22</v>
      </c>
      <c r="F247" s="11">
        <v>22367.03</v>
      </c>
      <c r="H247" s="22" t="str">
        <f t="shared" si="1"/>
        <v>Revestimientos Texturado Texturado 4 Travertino/Rulato (Extra-Grueso)</v>
      </c>
      <c r="I247" s="23">
        <f t="shared" si="3"/>
        <v>22367.03</v>
      </c>
    </row>
    <row r="248" ht="15.0" customHeight="1">
      <c r="A248" s="4">
        <v>206.0</v>
      </c>
      <c r="B248" s="5" t="s">
        <v>1742</v>
      </c>
      <c r="C248" s="6" t="s">
        <v>1749</v>
      </c>
      <c r="D248" s="6" t="s">
        <v>1750</v>
      </c>
      <c r="E248" s="4" t="s">
        <v>22</v>
      </c>
      <c r="F248" s="7">
        <v>29822.78</v>
      </c>
      <c r="H248" s="22" t="str">
        <f t="shared" si="1"/>
        <v>Revestimientos Texturado Texturado Pétreo</v>
      </c>
      <c r="I248" s="23">
        <f t="shared" si="3"/>
        <v>29822.78</v>
      </c>
    </row>
    <row r="249" ht="15.0" customHeight="1">
      <c r="A249" s="8">
        <v>217.0</v>
      </c>
      <c r="B249" s="9" t="s">
        <v>1751</v>
      </c>
      <c r="C249" s="10" t="s">
        <v>1752</v>
      </c>
      <c r="D249" s="10"/>
      <c r="E249" s="8" t="s">
        <v>76</v>
      </c>
      <c r="F249" s="11">
        <v>11294.28</v>
      </c>
      <c r="H249" s="22" t="str">
        <f t="shared" si="1"/>
        <v>Cielorrasos y Molduras Moldura de tergopol 25x20mm. (lista p/pintar)</v>
      </c>
      <c r="I249" s="23">
        <f t="shared" si="3"/>
        <v>11294.28</v>
      </c>
    </row>
    <row r="250" ht="15.0" customHeight="1">
      <c r="A250" s="4">
        <v>216.0</v>
      </c>
      <c r="B250" s="5" t="s">
        <v>1751</v>
      </c>
      <c r="C250" s="6" t="s">
        <v>1753</v>
      </c>
      <c r="D250" s="6"/>
      <c r="E250" s="4" t="s">
        <v>76</v>
      </c>
      <c r="F250" s="7">
        <v>17568.86</v>
      </c>
      <c r="H250" s="22" t="str">
        <f t="shared" si="1"/>
        <v>Cielorrasos y Molduras Moldura de yeso. (simple)</v>
      </c>
      <c r="I250" s="23">
        <f t="shared" si="3"/>
        <v>17568.86</v>
      </c>
    </row>
    <row r="251" ht="15.0" customHeight="1">
      <c r="A251" s="8">
        <v>64.0</v>
      </c>
      <c r="B251" s="9" t="s">
        <v>1751</v>
      </c>
      <c r="C251" s="10" t="s">
        <v>1754</v>
      </c>
      <c r="D251" s="10"/>
      <c r="E251" s="8" t="s">
        <v>22</v>
      </c>
      <c r="F251" s="11">
        <v>50196.68</v>
      </c>
      <c r="H251" s="22" t="str">
        <f t="shared" si="1"/>
        <v>Cielorrasos y Molduras Revestimiento en machimbre de 1/2´</v>
      </c>
      <c r="I251" s="23">
        <f t="shared" si="3"/>
        <v>50196.68</v>
      </c>
    </row>
    <row r="252" ht="15.0" customHeight="1">
      <c r="A252" s="4">
        <v>62.0</v>
      </c>
      <c r="B252" s="5" t="s">
        <v>1751</v>
      </c>
      <c r="C252" s="6" t="s">
        <v>1755</v>
      </c>
      <c r="D252" s="6" t="s">
        <v>1756</v>
      </c>
      <c r="E252" s="4" t="s">
        <v>22</v>
      </c>
      <c r="F252" s="7">
        <v>30118.05</v>
      </c>
      <c r="H252" s="22" t="str">
        <f t="shared" si="1"/>
        <v>Cielorrasos y Molduras Revoque Grueso y fino. (Aplicado)</v>
      </c>
      <c r="I252" s="23">
        <f t="shared" si="3"/>
        <v>30118.05</v>
      </c>
    </row>
    <row r="253" ht="15.0" customHeight="1">
      <c r="A253" s="8">
        <v>61.0</v>
      </c>
      <c r="B253" s="9" t="s">
        <v>1751</v>
      </c>
      <c r="C253" s="10" t="s">
        <v>1757</v>
      </c>
      <c r="D253" s="10" t="s">
        <v>1758</v>
      </c>
      <c r="E253" s="8" t="s">
        <v>22</v>
      </c>
      <c r="F253" s="11">
        <v>75295.05</v>
      </c>
      <c r="H253" s="22" t="str">
        <f t="shared" si="1"/>
        <v>Cielorrasos y Molduras Revoque grueso y fino. (Armado) </v>
      </c>
      <c r="I253" s="23">
        <f t="shared" si="3"/>
        <v>75295.05</v>
      </c>
    </row>
    <row r="254" ht="15.0" customHeight="1">
      <c r="A254" s="4">
        <v>63.0</v>
      </c>
      <c r="B254" s="5" t="s">
        <v>1751</v>
      </c>
      <c r="C254" s="6" t="s">
        <v>1759</v>
      </c>
      <c r="D254" s="6" t="s">
        <v>1756</v>
      </c>
      <c r="E254" s="4" t="s">
        <v>22</v>
      </c>
      <c r="F254" s="7">
        <v>26604.23</v>
      </c>
      <c r="H254" s="22" t="str">
        <f t="shared" si="1"/>
        <v>Cielorrasos y Molduras Yeso. (Aplicado)</v>
      </c>
      <c r="I254" s="23">
        <f t="shared" si="3"/>
        <v>26604.23</v>
      </c>
    </row>
    <row r="255" ht="15.0" customHeight="1">
      <c r="A255" s="8">
        <v>215.0</v>
      </c>
      <c r="B255" s="9" t="s">
        <v>1751</v>
      </c>
      <c r="C255" s="10" t="s">
        <v>1760</v>
      </c>
      <c r="D255" s="10" t="s">
        <v>1761</v>
      </c>
      <c r="E255" s="8" t="s">
        <v>22</v>
      </c>
      <c r="F255" s="11">
        <v>64251.76</v>
      </c>
      <c r="H255" s="22" t="str">
        <f t="shared" si="1"/>
        <v>Cielorrasos y Molduras Yeso. (Armado)</v>
      </c>
      <c r="I255" s="23">
        <f t="shared" si="3"/>
        <v>64251.76</v>
      </c>
    </row>
    <row r="256" ht="15.0" customHeight="1">
      <c r="A256" s="4">
        <v>231.0</v>
      </c>
      <c r="B256" s="5" t="s">
        <v>1762</v>
      </c>
      <c r="C256" s="6" t="s">
        <v>1763</v>
      </c>
      <c r="D256" s="6"/>
      <c r="E256" s="4" t="s">
        <v>76</v>
      </c>
      <c r="F256" s="7">
        <v>38754.83</v>
      </c>
      <c r="H256" s="22" t="str">
        <f t="shared" si="1"/>
        <v>Escaleras y Barandas Baranda de Madera con tensores y 4 lineas de cable de acero inoxidable.</v>
      </c>
      <c r="I256" s="23">
        <f t="shared" si="3"/>
        <v>38754.83</v>
      </c>
    </row>
    <row r="257" ht="15.0" customHeight="1">
      <c r="A257" s="8">
        <v>229.0</v>
      </c>
      <c r="B257" s="9" t="s">
        <v>1762</v>
      </c>
      <c r="C257" s="10" t="s">
        <v>1764</v>
      </c>
      <c r="D257" s="10"/>
      <c r="E257" s="8" t="s">
        <v>76</v>
      </c>
      <c r="F257" s="11">
        <v>24544.72</v>
      </c>
      <c r="H257" s="22" t="str">
        <f t="shared" si="1"/>
        <v>Escaleras y Barandas Baranda Pasamanos de Acero Inoxidable</v>
      </c>
      <c r="I257" s="23">
        <f t="shared" si="3"/>
        <v>24544.72</v>
      </c>
    </row>
    <row r="258" ht="15.0" customHeight="1">
      <c r="A258" s="4">
        <v>230.0</v>
      </c>
      <c r="B258" s="5" t="s">
        <v>1762</v>
      </c>
      <c r="C258" s="6" t="s">
        <v>1765</v>
      </c>
      <c r="D258" s="6"/>
      <c r="E258" s="4" t="s">
        <v>76</v>
      </c>
      <c r="F258" s="7">
        <v>19377.39</v>
      </c>
      <c r="H258" s="22" t="str">
        <f t="shared" si="1"/>
        <v>Escaleras y Barandas Baranda Pasamanos de Madera</v>
      </c>
      <c r="I258" s="23">
        <f t="shared" si="3"/>
        <v>19377.39</v>
      </c>
    </row>
    <row r="259" ht="15.0" customHeight="1">
      <c r="A259" s="8">
        <v>159.0</v>
      </c>
      <c r="B259" s="9" t="s">
        <v>1762</v>
      </c>
      <c r="C259" s="10" t="s">
        <v>1766</v>
      </c>
      <c r="D259" s="10"/>
      <c r="E259" s="8" t="s">
        <v>22</v>
      </c>
      <c r="F259" s="11">
        <v>20669.21</v>
      </c>
      <c r="H259" s="22" t="str">
        <f t="shared" si="1"/>
        <v>Escaleras y Barandas Carpeta cementicia. (P/escalera de H°A°)</v>
      </c>
      <c r="I259" s="23">
        <f t="shared" si="3"/>
        <v>20669.21</v>
      </c>
    </row>
    <row r="260" ht="15.0" customHeight="1">
      <c r="A260" s="4">
        <v>157.0</v>
      </c>
      <c r="B260" s="5" t="s">
        <v>1762</v>
      </c>
      <c r="C260" s="6" t="s">
        <v>1767</v>
      </c>
      <c r="D260" s="6" t="s">
        <v>1768</v>
      </c>
      <c r="E260" s="4" t="s">
        <v>5</v>
      </c>
      <c r="F260" s="7">
        <v>108658.35</v>
      </c>
      <c r="H260" s="22" t="str">
        <f t="shared" si="1"/>
        <v>Escaleras y Barandas Escalera de estructura de hierro con escalones de madera. (indicar cantidad de escalones)</v>
      </c>
      <c r="I260" s="23">
        <f t="shared" si="3"/>
        <v>108658.35</v>
      </c>
    </row>
    <row r="261" ht="15.0" customHeight="1">
      <c r="A261" s="8">
        <v>160.0</v>
      </c>
      <c r="B261" s="9" t="s">
        <v>1762</v>
      </c>
      <c r="C261" s="10" t="s">
        <v>1769</v>
      </c>
      <c r="D261" s="10"/>
      <c r="E261" s="8" t="s">
        <v>76</v>
      </c>
      <c r="F261" s="11">
        <v>19377.39</v>
      </c>
      <c r="H261" s="22" t="str">
        <f t="shared" si="1"/>
        <v>Escaleras y Barandas Nariz de escalera de 2¨x 3´ en guayubira</v>
      </c>
      <c r="I261" s="23">
        <f t="shared" si="3"/>
        <v>19377.39</v>
      </c>
    </row>
    <row r="262" ht="15.0" customHeight="1">
      <c r="A262" s="4">
        <v>161.0</v>
      </c>
      <c r="B262" s="5" t="s">
        <v>1762</v>
      </c>
      <c r="C262" s="6" t="s">
        <v>1770</v>
      </c>
      <c r="D262" s="6"/>
      <c r="E262" s="4" t="s">
        <v>22</v>
      </c>
      <c r="F262" s="7">
        <v>62007.67</v>
      </c>
      <c r="H262" s="22" t="str">
        <f t="shared" si="1"/>
        <v>Escaleras y Barandas Revest., alzada y pedada de cerámica</v>
      </c>
      <c r="I262" s="23">
        <f t="shared" si="3"/>
        <v>62007.67</v>
      </c>
    </row>
    <row r="263" ht="15.0" customHeight="1">
      <c r="A263" s="8">
        <v>162.0</v>
      </c>
      <c r="B263" s="9" t="s">
        <v>1762</v>
      </c>
      <c r="C263" s="10" t="s">
        <v>1771</v>
      </c>
      <c r="D263" s="10"/>
      <c r="E263" s="8" t="s">
        <v>22</v>
      </c>
      <c r="F263" s="11">
        <v>77509.62</v>
      </c>
      <c r="H263" s="22" t="str">
        <f t="shared" si="1"/>
        <v>Escaleras y Barandas Revest., alzada y pedada de porcellanato</v>
      </c>
      <c r="I263" s="23">
        <f t="shared" si="3"/>
        <v>77509.62</v>
      </c>
    </row>
    <row r="264" ht="15.0" customHeight="1">
      <c r="A264" s="4">
        <v>81.0</v>
      </c>
      <c r="B264" s="5" t="s">
        <v>1772</v>
      </c>
      <c r="C264" s="6" t="s">
        <v>1773</v>
      </c>
      <c r="D264" s="6"/>
      <c r="E264" s="4" t="s">
        <v>22</v>
      </c>
      <c r="F264" s="7">
        <v>25078.64</v>
      </c>
      <c r="H264" s="22" t="str">
        <f t="shared" si="1"/>
        <v>Construcción en Seco Cielorraso con placas de yeso</v>
      </c>
      <c r="I264" s="23">
        <f t="shared" si="3"/>
        <v>25078.64</v>
      </c>
    </row>
    <row r="265" ht="15.0" customHeight="1">
      <c r="A265" s="8">
        <v>173.0</v>
      </c>
      <c r="B265" s="9" t="s">
        <v>1772</v>
      </c>
      <c r="C265" s="10" t="s">
        <v>1774</v>
      </c>
      <c r="D265" s="10"/>
      <c r="E265" s="8" t="s">
        <v>22</v>
      </c>
      <c r="F265" s="11">
        <v>18425.12</v>
      </c>
      <c r="H265" s="22" t="str">
        <f t="shared" si="1"/>
        <v>Construcción en Seco Cielorraso Desmontable Deco Clasic Durlock 0,60 x 0,60</v>
      </c>
      <c r="I265" s="23">
        <f t="shared" si="3"/>
        <v>18425.12</v>
      </c>
    </row>
    <row r="266" ht="15.0" customHeight="1">
      <c r="A266" s="4">
        <v>181.0</v>
      </c>
      <c r="B266" s="5" t="s">
        <v>1772</v>
      </c>
      <c r="C266" s="6" t="s">
        <v>1775</v>
      </c>
      <c r="D266" s="6"/>
      <c r="E266" s="4" t="s">
        <v>22</v>
      </c>
      <c r="F266" s="7">
        <v>20216.47</v>
      </c>
      <c r="H266" s="22" t="str">
        <f t="shared" si="1"/>
        <v>Construcción en Seco Cielorraso Desmontable Deco Clasic Durlock 0,60 x 1,20</v>
      </c>
      <c r="I266" s="23">
        <f t="shared" si="3"/>
        <v>20216.47</v>
      </c>
    </row>
    <row r="267" ht="15.0" customHeight="1">
      <c r="A267" s="8">
        <v>242.0</v>
      </c>
      <c r="B267" s="9" t="s">
        <v>1772</v>
      </c>
      <c r="C267" s="10" t="s">
        <v>1776</v>
      </c>
      <c r="D267" s="10" t="s">
        <v>1777</v>
      </c>
      <c r="E267" s="8" t="s">
        <v>22</v>
      </c>
      <c r="F267" s="11">
        <v>20472.36</v>
      </c>
      <c r="H267" s="22" t="str">
        <f t="shared" si="1"/>
        <v>Construcción en Seco Revestimiento sobre perfil Omega</v>
      </c>
      <c r="I267" s="23">
        <f t="shared" si="3"/>
        <v>20472.36</v>
      </c>
    </row>
    <row r="268" ht="15.0" customHeight="1">
      <c r="A268" s="4">
        <v>172.0</v>
      </c>
      <c r="B268" s="5" t="s">
        <v>1772</v>
      </c>
      <c r="C268" s="6" t="s">
        <v>1778</v>
      </c>
      <c r="D268" s="6"/>
      <c r="E268" s="4" t="s">
        <v>22</v>
      </c>
      <c r="F268" s="7">
        <v>15354.28</v>
      </c>
      <c r="H268" s="22" t="str">
        <f t="shared" si="1"/>
        <v>Construcción en Seco Revoque Seco Durlock</v>
      </c>
      <c r="I268" s="23">
        <f t="shared" si="3"/>
        <v>15354.28</v>
      </c>
    </row>
    <row r="269" ht="15.0" customHeight="1">
      <c r="A269" s="8">
        <v>78.0</v>
      </c>
      <c r="B269" s="9" t="s">
        <v>1772</v>
      </c>
      <c r="C269" s="10" t="s">
        <v>1779</v>
      </c>
      <c r="D269" s="10"/>
      <c r="E269" s="8" t="s">
        <v>22</v>
      </c>
      <c r="F269" s="11">
        <v>28149.49</v>
      </c>
      <c r="H269" s="22" t="str">
        <f t="shared" si="1"/>
        <v>Construcción en Seco Tabique espesor 9.5cm</v>
      </c>
      <c r="I269" s="23">
        <f t="shared" si="3"/>
        <v>28149.49</v>
      </c>
    </row>
    <row r="270" ht="15.0" customHeight="1">
      <c r="A270" s="4">
        <v>80.0</v>
      </c>
      <c r="B270" s="5" t="s">
        <v>1772</v>
      </c>
      <c r="C270" s="6" t="s">
        <v>1780</v>
      </c>
      <c r="D270" s="6"/>
      <c r="E270" s="4" t="s">
        <v>22</v>
      </c>
      <c r="F270" s="7">
        <v>29429.01</v>
      </c>
      <c r="H270" s="22" t="str">
        <f t="shared" si="1"/>
        <v>Construcción en Seco Tabique espesor 9.5cm c/aislación acústica</v>
      </c>
      <c r="I270" s="23">
        <f t="shared" si="3"/>
        <v>29429.01</v>
      </c>
    </row>
    <row r="271" ht="15.0" customHeight="1">
      <c r="A271" s="8">
        <v>79.0</v>
      </c>
      <c r="B271" s="9" t="s">
        <v>1772</v>
      </c>
      <c r="C271" s="10" t="s">
        <v>1781</v>
      </c>
      <c r="D271" s="10"/>
      <c r="E271" s="8" t="s">
        <v>22</v>
      </c>
      <c r="F271" s="11">
        <v>30708.6</v>
      </c>
      <c r="H271" s="22" t="str">
        <f t="shared" si="1"/>
        <v>Construcción en Seco Tabique espesor 9.5cm mixto</v>
      </c>
      <c r="I271" s="23">
        <f t="shared" si="3"/>
        <v>30708.6</v>
      </c>
    </row>
    <row r="272" ht="15.0" customHeight="1">
      <c r="A272" s="4">
        <v>170.0</v>
      </c>
      <c r="B272" s="5" t="s">
        <v>1782</v>
      </c>
      <c r="C272" s="6" t="s">
        <v>1783</v>
      </c>
      <c r="D272" s="6"/>
      <c r="E272" s="4" t="s">
        <v>5</v>
      </c>
      <c r="F272" s="7">
        <v>211859.59</v>
      </c>
      <c r="H272" s="22" t="str">
        <f t="shared" si="1"/>
        <v>Steel Framing Tabique Externo Portante Sistema EIFS c/ Aislacion Térmico-Acústica (Panel de 2,40 x 2,40)</v>
      </c>
      <c r="I272" s="23">
        <f t="shared" si="3"/>
        <v>211859.59</v>
      </c>
    </row>
    <row r="273" ht="15.0" customHeight="1">
      <c r="A273" s="8">
        <v>171.0</v>
      </c>
      <c r="B273" s="9" t="s">
        <v>1782</v>
      </c>
      <c r="C273" s="10" t="s">
        <v>1784</v>
      </c>
      <c r="D273" s="10"/>
      <c r="E273" s="8" t="s">
        <v>5</v>
      </c>
      <c r="F273" s="11">
        <v>196357.67</v>
      </c>
      <c r="H273" s="22" t="str">
        <f t="shared" si="1"/>
        <v>Steel Framing Tabique Externo Portante Sistema Siding c/ Aislacion Térmico-Acústica (Panel de 2,40 x 2,40)</v>
      </c>
      <c r="I273" s="23">
        <f t="shared" si="3"/>
        <v>196357.67</v>
      </c>
    </row>
    <row r="274" ht="15.0" customHeight="1">
      <c r="A274" s="4">
        <v>169.0</v>
      </c>
      <c r="B274" s="5" t="s">
        <v>1782</v>
      </c>
      <c r="C274" s="6" t="s">
        <v>1785</v>
      </c>
      <c r="D274" s="6"/>
      <c r="E274" s="4" t="s">
        <v>5</v>
      </c>
      <c r="F274" s="7">
        <v>152435.56</v>
      </c>
      <c r="H274" s="22" t="str">
        <f t="shared" si="1"/>
        <v>Steel Framing Tabique Interno NO Portante c/ Aislacion Acústica (Panel de 2,40 x 2,40)</v>
      </c>
      <c r="I274" s="23">
        <f t="shared" si="3"/>
        <v>152435.56</v>
      </c>
    </row>
    <row r="275" ht="15.0" customHeight="1">
      <c r="A275" s="8">
        <v>168.0</v>
      </c>
      <c r="B275" s="9" t="s">
        <v>1782</v>
      </c>
      <c r="C275" s="10" t="s">
        <v>1786</v>
      </c>
      <c r="D275" s="10"/>
      <c r="E275" s="8" t="s">
        <v>5</v>
      </c>
      <c r="F275" s="11">
        <v>167937.51</v>
      </c>
      <c r="H275" s="22" t="str">
        <f t="shared" si="1"/>
        <v>Steel Framing Tabique Interno Portante c/ Aislacion Acústica (Panel de 2,40 x 2,40)</v>
      </c>
      <c r="I275" s="23">
        <f t="shared" si="3"/>
        <v>167937.51</v>
      </c>
    </row>
    <row r="276" ht="15.0" customHeight="1">
      <c r="A276" s="4">
        <v>88.0</v>
      </c>
      <c r="B276" s="5" t="s">
        <v>1246</v>
      </c>
      <c r="C276" s="6" t="s">
        <v>1787</v>
      </c>
      <c r="D276" s="6" t="s">
        <v>1788</v>
      </c>
      <c r="E276" s="4" t="s">
        <v>22</v>
      </c>
      <c r="F276" s="7">
        <v>17920.24</v>
      </c>
      <c r="H276" s="22" t="str">
        <f t="shared" si="1"/>
        <v>Pinturas Barniz s/madera y/o abertura.</v>
      </c>
      <c r="I276" s="23">
        <f t="shared" si="3"/>
        <v>17920.24</v>
      </c>
    </row>
    <row r="277" ht="15.0" customHeight="1">
      <c r="A277" s="8">
        <v>85.0</v>
      </c>
      <c r="B277" s="9" t="s">
        <v>1246</v>
      </c>
      <c r="C277" s="10" t="s">
        <v>1789</v>
      </c>
      <c r="D277" s="10" t="s">
        <v>1790</v>
      </c>
      <c r="E277" s="8" t="s">
        <v>22</v>
      </c>
      <c r="F277" s="11">
        <v>12288.15</v>
      </c>
      <c r="H277" s="22" t="str">
        <f t="shared" si="1"/>
        <v>Pinturas Cielorraso de yeso y/o cal</v>
      </c>
      <c r="I277" s="23">
        <f t="shared" si="3"/>
        <v>12288.15</v>
      </c>
    </row>
    <row r="278" ht="15.0" customHeight="1">
      <c r="A278" s="4">
        <v>87.0</v>
      </c>
      <c r="B278" s="5" t="s">
        <v>1246</v>
      </c>
      <c r="C278" s="6" t="s">
        <v>1791</v>
      </c>
      <c r="D278" s="6" t="s">
        <v>1788</v>
      </c>
      <c r="E278" s="4" t="s">
        <v>22</v>
      </c>
      <c r="F278" s="7">
        <v>20480.23</v>
      </c>
      <c r="H278" s="22" t="str">
        <f t="shared" si="1"/>
        <v>Pinturas Esmalte sintético s/ abertura.</v>
      </c>
      <c r="I278" s="23">
        <f t="shared" si="3"/>
        <v>20480.23</v>
      </c>
    </row>
    <row r="279" ht="15.0" customHeight="1">
      <c r="A279" s="8">
        <v>86.0</v>
      </c>
      <c r="B279" s="9" t="s">
        <v>1246</v>
      </c>
      <c r="C279" s="10" t="s">
        <v>1792</v>
      </c>
      <c r="D279" s="10" t="s">
        <v>1793</v>
      </c>
      <c r="E279" s="8" t="s">
        <v>22</v>
      </c>
      <c r="F279" s="11">
        <v>17152.23</v>
      </c>
      <c r="H279" s="22" t="str">
        <f t="shared" si="1"/>
        <v>Pinturas Impermeabilizacion de losa. (terraza)</v>
      </c>
      <c r="I279" s="23">
        <f t="shared" si="3"/>
        <v>17152.23</v>
      </c>
    </row>
    <row r="280" ht="15.0" customHeight="1">
      <c r="A280" s="4">
        <v>441.0</v>
      </c>
      <c r="B280" s="5" t="s">
        <v>1246</v>
      </c>
      <c r="C280" s="6" t="s">
        <v>1794</v>
      </c>
      <c r="D280" s="6" t="s">
        <v>1795</v>
      </c>
      <c r="E280" s="4" t="s">
        <v>22</v>
      </c>
      <c r="F280" s="7">
        <v>17920.59</v>
      </c>
      <c r="H280" s="22" t="str">
        <f t="shared" si="1"/>
        <v>Pinturas Impregnante s/madera y/o abertura.</v>
      </c>
      <c r="I280" s="23">
        <f t="shared" si="3"/>
        <v>17920.59</v>
      </c>
    </row>
    <row r="281" ht="15.0" customHeight="1">
      <c r="A281" s="8">
        <v>89.0</v>
      </c>
      <c r="B281" s="9" t="s">
        <v>1246</v>
      </c>
      <c r="C281" s="10" t="s">
        <v>1796</v>
      </c>
      <c r="D281" s="10" t="s">
        <v>1788</v>
      </c>
      <c r="E281" s="8" t="s">
        <v>22</v>
      </c>
      <c r="F281" s="11">
        <v>13824.17</v>
      </c>
      <c r="H281" s="22" t="str">
        <f t="shared" si="1"/>
        <v>Pinturas Mampostería de Ladrillo común</v>
      </c>
      <c r="I281" s="23">
        <f t="shared" si="3"/>
        <v>13824.17</v>
      </c>
    </row>
    <row r="282" ht="15.0" customHeight="1">
      <c r="A282" s="4">
        <v>84.0</v>
      </c>
      <c r="B282" s="5" t="s">
        <v>1246</v>
      </c>
      <c r="C282" s="6" t="s">
        <v>1797</v>
      </c>
      <c r="D282" s="6" t="s">
        <v>1798</v>
      </c>
      <c r="E282" s="4" t="s">
        <v>22</v>
      </c>
      <c r="F282" s="7">
        <v>13824.17</v>
      </c>
      <c r="H282" s="22" t="str">
        <f t="shared" si="1"/>
        <v>Pinturas Paredes exteriores</v>
      </c>
      <c r="I282" s="23">
        <f t="shared" si="3"/>
        <v>13824.17</v>
      </c>
    </row>
    <row r="283" ht="15.0" customHeight="1">
      <c r="A283" s="8">
        <v>83.0</v>
      </c>
      <c r="B283" s="9" t="s">
        <v>1246</v>
      </c>
      <c r="C283" s="10" t="s">
        <v>1799</v>
      </c>
      <c r="D283" s="10" t="s">
        <v>1790</v>
      </c>
      <c r="E283" s="8" t="s">
        <v>22</v>
      </c>
      <c r="F283" s="11">
        <v>12800.17</v>
      </c>
      <c r="H283" s="22" t="str">
        <f t="shared" si="1"/>
        <v>Pinturas Paredes interiores</v>
      </c>
      <c r="I283" s="23">
        <f t="shared" si="3"/>
        <v>12800.17</v>
      </c>
    </row>
    <row r="284" ht="15.0" customHeight="1">
      <c r="A284" s="4">
        <v>460.0</v>
      </c>
      <c r="B284" s="5" t="s">
        <v>1800</v>
      </c>
      <c r="C284" s="6" t="s">
        <v>1801</v>
      </c>
      <c r="D284" s="6"/>
      <c r="E284" s="4" t="s">
        <v>76</v>
      </c>
      <c r="F284" s="7">
        <v>65083.14</v>
      </c>
      <c r="H284" s="22" t="str">
        <f t="shared" si="1"/>
        <v>Marmolería/Granitos Mesada de Granito Gris Mara (Ancho: 0,60)</v>
      </c>
      <c r="I284" s="23">
        <f t="shared" si="3"/>
        <v>65083.14</v>
      </c>
    </row>
    <row r="285" ht="15.0" customHeight="1">
      <c r="A285" s="8">
        <v>133.0</v>
      </c>
      <c r="B285" s="9" t="s">
        <v>1800</v>
      </c>
      <c r="C285" s="10" t="s">
        <v>1802</v>
      </c>
      <c r="D285" s="10"/>
      <c r="E285" s="8" t="s">
        <v>22</v>
      </c>
      <c r="F285" s="11">
        <v>65083.45</v>
      </c>
      <c r="H285" s="22" t="str">
        <f t="shared" si="1"/>
        <v>Marmolería/Granitos Mesada de Granito y/o Mármol</v>
      </c>
      <c r="I285" s="23">
        <f t="shared" si="3"/>
        <v>65083.45</v>
      </c>
    </row>
    <row r="286" ht="15.0" customHeight="1">
      <c r="A286" s="4">
        <v>95.0</v>
      </c>
      <c r="B286" s="5" t="s">
        <v>1800</v>
      </c>
      <c r="C286" s="6" t="s">
        <v>1803</v>
      </c>
      <c r="D286" s="6" t="s">
        <v>1804</v>
      </c>
      <c r="E286" s="4" t="s">
        <v>5</v>
      </c>
      <c r="F286" s="7">
        <v>42445.76</v>
      </c>
      <c r="H286" s="22" t="str">
        <f t="shared" si="1"/>
        <v>Marmolería/Granitos Mesada de Granito y/o Mármol c/Pileta de Cocina Doble ( 0.60 x 1.20)</v>
      </c>
      <c r="I286" s="23">
        <f t="shared" si="3"/>
        <v>42445.76</v>
      </c>
    </row>
    <row r="287" ht="15.0" customHeight="1">
      <c r="A287" s="8">
        <v>132.0</v>
      </c>
      <c r="B287" s="9" t="s">
        <v>1800</v>
      </c>
      <c r="C287" s="10" t="s">
        <v>1805</v>
      </c>
      <c r="D287" s="10" t="s">
        <v>1804</v>
      </c>
      <c r="E287" s="8" t="s">
        <v>5</v>
      </c>
      <c r="F287" s="11">
        <v>42445.76</v>
      </c>
      <c r="H287" s="22" t="str">
        <f t="shared" si="1"/>
        <v>Marmolería/Granitos Mesada de Granito y/o Mármol c/Pileta de Cocina Simple (0.60 x 1.20)</v>
      </c>
      <c r="I287" s="23">
        <f t="shared" si="3"/>
        <v>42445.76</v>
      </c>
    </row>
    <row r="288" ht="15.0" customHeight="1">
      <c r="A288" s="4">
        <v>462.0</v>
      </c>
      <c r="B288" s="5" t="s">
        <v>1800</v>
      </c>
      <c r="C288" s="6" t="s">
        <v>1806</v>
      </c>
      <c r="D288" s="6"/>
      <c r="E288" s="4" t="s">
        <v>5</v>
      </c>
      <c r="F288" s="7">
        <v>71083.8</v>
      </c>
      <c r="H288" s="22" t="str">
        <f t="shared" si="1"/>
        <v>Marmolería/Granitos Perforado de Granito y Pegado de Bacha Doble</v>
      </c>
      <c r="I288" s="23">
        <f t="shared" si="3"/>
        <v>71083.8</v>
      </c>
    </row>
    <row r="289" ht="15.0" customHeight="1">
      <c r="A289" s="8">
        <v>461.0</v>
      </c>
      <c r="B289" s="9" t="s">
        <v>1800</v>
      </c>
      <c r="C289" s="10" t="s">
        <v>1807</v>
      </c>
      <c r="D289" s="10"/>
      <c r="E289" s="8" t="s">
        <v>5</v>
      </c>
      <c r="F289" s="11">
        <v>59236.5</v>
      </c>
      <c r="H289" s="22" t="str">
        <f t="shared" si="1"/>
        <v>Marmolería/Granitos Perforado de Granito y Pegado de Bacha Simple</v>
      </c>
      <c r="I289" s="23">
        <f t="shared" si="3"/>
        <v>59236.5</v>
      </c>
    </row>
    <row r="290" ht="15.0" customHeight="1">
      <c r="A290" s="4">
        <v>134.0</v>
      </c>
      <c r="B290" s="5" t="s">
        <v>1800</v>
      </c>
      <c r="C290" s="6" t="s">
        <v>1808</v>
      </c>
      <c r="D290" s="6"/>
      <c r="E290" s="4" t="s">
        <v>76</v>
      </c>
      <c r="F290" s="7">
        <v>13624.4</v>
      </c>
      <c r="H290" s="22" t="str">
        <f t="shared" si="1"/>
        <v>Marmolería/Granitos Zócalo de Granito Gris Mara (Alt. 5 cm)</v>
      </c>
      <c r="I290" s="23">
        <f t="shared" si="3"/>
        <v>13624.4</v>
      </c>
    </row>
    <row r="291" ht="15.0" customHeight="1">
      <c r="A291" s="8">
        <v>97.0</v>
      </c>
      <c r="B291" s="9" t="s">
        <v>1809</v>
      </c>
      <c r="C291" s="10" t="s">
        <v>1810</v>
      </c>
      <c r="D291" s="10"/>
      <c r="E291" s="8" t="s">
        <v>76</v>
      </c>
      <c r="F291" s="11">
        <v>65083.45</v>
      </c>
      <c r="H291" s="22" t="str">
        <f t="shared" si="1"/>
        <v>Amoblamientos para cocinas, placares y vestidores Alacena de aglomerado enchapado, enlaminado plástico c/ estante y cajonera</v>
      </c>
      <c r="I291" s="23">
        <f t="shared" si="3"/>
        <v>65083.45</v>
      </c>
    </row>
    <row r="292" ht="15.0" customHeight="1">
      <c r="A292" s="4">
        <v>96.0</v>
      </c>
      <c r="B292" s="5" t="s">
        <v>1809</v>
      </c>
      <c r="C292" s="6" t="s">
        <v>1811</v>
      </c>
      <c r="D292" s="6"/>
      <c r="E292" s="4" t="s">
        <v>76</v>
      </c>
      <c r="F292" s="7">
        <v>84891.49</v>
      </c>
      <c r="H292" s="22" t="str">
        <f t="shared" si="1"/>
        <v>Amoblamientos para cocinas, placares y vestidores Bajo mesada aglomerado enchapado, enlaminado plástico c/ estante y cajonera</v>
      </c>
      <c r="I292" s="23">
        <f t="shared" si="3"/>
        <v>84891.49</v>
      </c>
    </row>
    <row r="293" ht="15.0" customHeight="1">
      <c r="A293" s="8">
        <v>494.0</v>
      </c>
      <c r="B293" s="9" t="s">
        <v>1809</v>
      </c>
      <c r="C293" s="10" t="s">
        <v>1812</v>
      </c>
      <c r="D293" s="10" t="s">
        <v>1813</v>
      </c>
      <c r="E293" s="8" t="s">
        <v>5</v>
      </c>
      <c r="F293" s="11">
        <v>102000.0</v>
      </c>
      <c r="H293" s="22" t="str">
        <f t="shared" si="1"/>
        <v>Amoblamientos para cocinas, placares y vestidores Placard 1.50x2.30x0.60 melamina 18mm, color blanco.</v>
      </c>
      <c r="I293" s="23">
        <f t="shared" si="3"/>
        <v>102000</v>
      </c>
    </row>
    <row r="294" ht="15.0" customHeight="1">
      <c r="A294" s="4">
        <v>495.0</v>
      </c>
      <c r="B294" s="5" t="s">
        <v>1809</v>
      </c>
      <c r="C294" s="6" t="s">
        <v>1814</v>
      </c>
      <c r="D294" s="6" t="s">
        <v>1813</v>
      </c>
      <c r="E294" s="4" t="s">
        <v>5</v>
      </c>
      <c r="F294" s="7">
        <v>102000.0</v>
      </c>
      <c r="H294" s="22" t="str">
        <f t="shared" si="1"/>
        <v>Amoblamientos para cocinas, placares y vestidores Placard 2.00x2.30x0.60 melamina 18mm, color blanco.</v>
      </c>
      <c r="I294" s="23">
        <f t="shared" si="3"/>
        <v>102000</v>
      </c>
    </row>
    <row r="295" ht="15.0" customHeight="1">
      <c r="A295" s="8">
        <v>496.0</v>
      </c>
      <c r="B295" s="9" t="s">
        <v>1809</v>
      </c>
      <c r="C295" s="10" t="s">
        <v>1815</v>
      </c>
      <c r="D295" s="10" t="s">
        <v>1813</v>
      </c>
      <c r="E295" s="8" t="s">
        <v>5</v>
      </c>
      <c r="F295" s="11">
        <v>102000.0</v>
      </c>
      <c r="H295" s="22" t="str">
        <f t="shared" si="1"/>
        <v>Amoblamientos para cocinas, placares y vestidores Placard 2.40x2.30x0.60 melamina 18mm, color blanco.</v>
      </c>
      <c r="I295" s="23">
        <f t="shared" si="3"/>
        <v>102000</v>
      </c>
    </row>
    <row r="296" ht="15.0" customHeight="1">
      <c r="A296" s="4">
        <v>497.0</v>
      </c>
      <c r="B296" s="5" t="s">
        <v>1809</v>
      </c>
      <c r="C296" s="6" t="s">
        <v>1816</v>
      </c>
      <c r="D296" s="6" t="s">
        <v>1813</v>
      </c>
      <c r="E296" s="4" t="s">
        <v>5</v>
      </c>
      <c r="F296" s="7">
        <v>102000.0</v>
      </c>
      <c r="H296" s="22" t="str">
        <f t="shared" si="1"/>
        <v>Amoblamientos para cocinas, placares y vestidores Vestidor 1.50x2.30x0.45 melamina 18mm, color blanco.</v>
      </c>
      <c r="I296" s="23">
        <f t="shared" si="3"/>
        <v>102000</v>
      </c>
    </row>
    <row r="297" ht="15.0" customHeight="1">
      <c r="A297" s="8">
        <v>498.0</v>
      </c>
      <c r="B297" s="9" t="s">
        <v>1809</v>
      </c>
      <c r="C297" s="10" t="s">
        <v>1817</v>
      </c>
      <c r="D297" s="10" t="s">
        <v>1813</v>
      </c>
      <c r="E297" s="8" t="s">
        <v>5</v>
      </c>
      <c r="F297" s="11">
        <v>102000.0</v>
      </c>
      <c r="H297" s="22" t="str">
        <f t="shared" si="1"/>
        <v>Amoblamientos para cocinas, placares y vestidores Vestidor 2.00x2.30x0.45 melamina 18mm, color blanco.</v>
      </c>
      <c r="I297" s="23">
        <f t="shared" si="3"/>
        <v>102000</v>
      </c>
    </row>
    <row r="298" ht="15.0" customHeight="1">
      <c r="A298" s="4">
        <v>499.0</v>
      </c>
      <c r="B298" s="5" t="s">
        <v>1809</v>
      </c>
      <c r="C298" s="6" t="s">
        <v>1818</v>
      </c>
      <c r="D298" s="6" t="s">
        <v>1813</v>
      </c>
      <c r="E298" s="4" t="s">
        <v>5</v>
      </c>
      <c r="F298" s="7">
        <v>102000.0</v>
      </c>
      <c r="H298" s="22" t="str">
        <f t="shared" si="1"/>
        <v>Amoblamientos para cocinas, placares y vestidores Vestidor 2.40x2.30x0.45 melamina 18mm, color blanco.</v>
      </c>
      <c r="I298" s="23">
        <f t="shared" si="3"/>
        <v>102000</v>
      </c>
    </row>
    <row r="299" ht="15.0" customHeight="1">
      <c r="A299" s="8">
        <v>145.0</v>
      </c>
      <c r="B299" s="9" t="s">
        <v>1819</v>
      </c>
      <c r="C299" s="10" t="s">
        <v>1820</v>
      </c>
      <c r="D299" s="10"/>
      <c r="E299" s="8" t="s">
        <v>5</v>
      </c>
      <c r="F299" s="11">
        <v>310038.41</v>
      </c>
      <c r="H299" s="22" t="str">
        <f t="shared" si="1"/>
        <v>Aberturas de madera Portón Garage 2.40 x 2.00 </v>
      </c>
      <c r="I299" s="23">
        <f t="shared" si="3"/>
        <v>310038.41</v>
      </c>
    </row>
    <row r="300" ht="15.0" customHeight="1">
      <c r="A300" s="4">
        <v>140.0</v>
      </c>
      <c r="B300" s="5" t="s">
        <v>1819</v>
      </c>
      <c r="C300" s="6" t="s">
        <v>1821</v>
      </c>
      <c r="D300" s="6"/>
      <c r="E300" s="4" t="s">
        <v>5</v>
      </c>
      <c r="F300" s="7">
        <v>103346.18</v>
      </c>
      <c r="H300" s="22" t="str">
        <f t="shared" si="1"/>
        <v>Aberturas de madera Puerta de Entrada 0,80 x 2.00 (Exterior)</v>
      </c>
      <c r="I300" s="23">
        <f t="shared" si="3"/>
        <v>103346.18</v>
      </c>
    </row>
    <row r="301" ht="15.0" customHeight="1">
      <c r="A301" s="8">
        <v>430.0</v>
      </c>
      <c r="B301" s="9" t="s">
        <v>1819</v>
      </c>
      <c r="C301" s="10" t="s">
        <v>1822</v>
      </c>
      <c r="D301" s="10"/>
      <c r="E301" s="8" t="s">
        <v>5</v>
      </c>
      <c r="F301" s="11">
        <v>105348.41</v>
      </c>
      <c r="H301" s="22" t="str">
        <f t="shared" si="1"/>
        <v>Aberturas de madera Puerta de Entrada Estilo Colonial 0.90 x 2.00 (Exterior)</v>
      </c>
      <c r="I301" s="23">
        <f t="shared" si="3"/>
        <v>105348.41</v>
      </c>
    </row>
    <row r="302" ht="15.0" customHeight="1">
      <c r="A302" s="4">
        <v>431.0</v>
      </c>
      <c r="B302" s="5" t="s">
        <v>1819</v>
      </c>
      <c r="C302" s="6" t="s">
        <v>1823</v>
      </c>
      <c r="D302" s="6"/>
      <c r="E302" s="4" t="s">
        <v>5</v>
      </c>
      <c r="F302" s="7">
        <v>175580.69</v>
      </c>
      <c r="H302" s="22" t="str">
        <f t="shared" si="1"/>
        <v>Aberturas de madera Puerta de Entrada Estilo Colonial 1.60 x 2.00 (Exterior)</v>
      </c>
      <c r="I302" s="23">
        <f t="shared" si="3"/>
        <v>175580.69</v>
      </c>
    </row>
    <row r="303" ht="15.0" customHeight="1">
      <c r="A303" s="8">
        <v>463.0</v>
      </c>
      <c r="B303" s="9" t="s">
        <v>1819</v>
      </c>
      <c r="C303" s="10" t="s">
        <v>1824</v>
      </c>
      <c r="D303" s="10"/>
      <c r="E303" s="8" t="s">
        <v>5</v>
      </c>
      <c r="F303" s="11">
        <v>86536.8</v>
      </c>
      <c r="H303" s="22" t="str">
        <f t="shared" si="1"/>
        <v>Aberturas de madera Puerta Placa Corrediza de Embutir, hoja 60/70. (Interior)</v>
      </c>
      <c r="I303" s="23">
        <f t="shared" si="3"/>
        <v>86536.8</v>
      </c>
    </row>
    <row r="304" ht="15.0" customHeight="1">
      <c r="A304" s="4">
        <v>139.0</v>
      </c>
      <c r="B304" s="5" t="s">
        <v>1819</v>
      </c>
      <c r="C304" s="6" t="s">
        <v>1825</v>
      </c>
      <c r="D304" s="6"/>
      <c r="E304" s="4" t="s">
        <v>5</v>
      </c>
      <c r="F304" s="7">
        <v>62007.67</v>
      </c>
      <c r="H304" s="22" t="str">
        <f t="shared" si="1"/>
        <v>Aberturas de madera Puerta Placa, hoja 60/70. (Interior)</v>
      </c>
      <c r="I304" s="23">
        <f t="shared" si="3"/>
        <v>62007.67</v>
      </c>
    </row>
    <row r="305" ht="15.0" customHeight="1">
      <c r="A305" s="8">
        <v>142.0</v>
      </c>
      <c r="B305" s="9" t="s">
        <v>1819</v>
      </c>
      <c r="C305" s="10" t="s">
        <v>1826</v>
      </c>
      <c r="D305" s="10"/>
      <c r="E305" s="8" t="s">
        <v>5</v>
      </c>
      <c r="F305" s="11">
        <v>72342.31</v>
      </c>
      <c r="H305" s="22" t="str">
        <f t="shared" si="1"/>
        <v>Aberturas de madera Ventana 1.50 x 1.10 Corrediza/De abrir</v>
      </c>
      <c r="I305" s="23">
        <f t="shared" si="3"/>
        <v>72342.31</v>
      </c>
    </row>
    <row r="306" ht="15.0" customHeight="1">
      <c r="A306" s="4">
        <v>141.0</v>
      </c>
      <c r="B306" s="5" t="s">
        <v>1819</v>
      </c>
      <c r="C306" s="6" t="s">
        <v>1827</v>
      </c>
      <c r="D306" s="6"/>
      <c r="E306" s="4" t="s">
        <v>5</v>
      </c>
      <c r="F306" s="7">
        <v>77509.62</v>
      </c>
      <c r="H306" s="22" t="str">
        <f t="shared" si="1"/>
        <v>Aberturas de madera Ventana 1.50 x 1.10 Corrediza/De abrir c/cortina de PVC</v>
      </c>
      <c r="I306" s="23">
        <f t="shared" si="3"/>
        <v>77509.62</v>
      </c>
    </row>
    <row r="307" ht="15.0" customHeight="1">
      <c r="A307" s="8">
        <v>144.0</v>
      </c>
      <c r="B307" s="9" t="s">
        <v>1819</v>
      </c>
      <c r="C307" s="10" t="s">
        <v>1828</v>
      </c>
      <c r="D307" s="10"/>
      <c r="E307" s="8" t="s">
        <v>5</v>
      </c>
      <c r="F307" s="11">
        <v>98178.85</v>
      </c>
      <c r="H307" s="22" t="str">
        <f t="shared" si="1"/>
        <v>Aberturas de madera Ventana balcón 1.60 x 2.00 Corrediza</v>
      </c>
      <c r="I307" s="23">
        <f t="shared" si="3"/>
        <v>98178.85</v>
      </c>
    </row>
    <row r="308" ht="15.0" customHeight="1">
      <c r="A308" s="4">
        <v>143.0</v>
      </c>
      <c r="B308" s="5" t="s">
        <v>1819</v>
      </c>
      <c r="C308" s="6" t="s">
        <v>1829</v>
      </c>
      <c r="D308" s="6"/>
      <c r="E308" s="4" t="s">
        <v>5</v>
      </c>
      <c r="F308" s="7">
        <v>108513.42</v>
      </c>
      <c r="H308" s="22" t="str">
        <f t="shared" si="1"/>
        <v>Aberturas de madera Ventana balcón 1.60 x 2.00 Corrediza c/cortina de PVC</v>
      </c>
      <c r="I308" s="23">
        <f t="shared" si="3"/>
        <v>108513.42</v>
      </c>
    </row>
    <row r="309" ht="15.0" customHeight="1">
      <c r="A309" s="8">
        <v>146.0</v>
      </c>
      <c r="B309" s="9" t="s">
        <v>1819</v>
      </c>
      <c r="C309" s="10" t="s">
        <v>1830</v>
      </c>
      <c r="D309" s="10"/>
      <c r="E309" s="8" t="s">
        <v>5</v>
      </c>
      <c r="F309" s="11">
        <v>54256.75</v>
      </c>
      <c r="H309" s="22" t="str">
        <f t="shared" si="1"/>
        <v>Aberturas de madera Ventiluz 1.00 x 0.50 corredizo</v>
      </c>
      <c r="I309" s="23">
        <f t="shared" si="3"/>
        <v>54256.75</v>
      </c>
    </row>
    <row r="310" ht="15.0" customHeight="1">
      <c r="A310" s="4">
        <v>163.0</v>
      </c>
      <c r="B310" s="5" t="s">
        <v>1831</v>
      </c>
      <c r="C310" s="6" t="s">
        <v>1832</v>
      </c>
      <c r="D310" s="6"/>
      <c r="E310" s="4" t="s">
        <v>5</v>
      </c>
      <c r="F310" s="7">
        <v>103346.18</v>
      </c>
      <c r="H310" s="22" t="str">
        <f t="shared" si="1"/>
        <v>Aberturas de aluminio Linea Herrero. Puerta de Entrada 0,80 x 2.00 (Exterior)</v>
      </c>
      <c r="I310" s="23">
        <f t="shared" si="3"/>
        <v>103346.18</v>
      </c>
    </row>
    <row r="311" ht="15.0" customHeight="1">
      <c r="A311" s="8">
        <v>147.0</v>
      </c>
      <c r="B311" s="9" t="s">
        <v>1831</v>
      </c>
      <c r="C311" s="10" t="s">
        <v>1833</v>
      </c>
      <c r="D311" s="10"/>
      <c r="E311" s="8" t="s">
        <v>5</v>
      </c>
      <c r="F311" s="11">
        <v>77509.62</v>
      </c>
      <c r="H311" s="22" t="str">
        <f t="shared" si="1"/>
        <v>Aberturas de aluminio Linea Herrero. Ventana 1.50 x 1.10 Corrediza c/Cortina de PVC c/Vidrio Simple 4mm.</v>
      </c>
      <c r="I311" s="23">
        <f t="shared" si="3"/>
        <v>77509.62</v>
      </c>
    </row>
    <row r="312" ht="15.0" customHeight="1">
      <c r="A312" s="4">
        <v>148.0</v>
      </c>
      <c r="B312" s="5" t="s">
        <v>1831</v>
      </c>
      <c r="C312" s="6" t="s">
        <v>1834</v>
      </c>
      <c r="D312" s="6"/>
      <c r="E312" s="4" t="s">
        <v>5</v>
      </c>
      <c r="F312" s="7">
        <v>72342.31</v>
      </c>
      <c r="H312" s="22" t="str">
        <f t="shared" si="1"/>
        <v>Aberturas de aluminio Linea Herrero. Ventana 1.50 x 1.10 Corrediza c/Vidrio Simple 4mm.</v>
      </c>
      <c r="I312" s="23">
        <f t="shared" si="3"/>
        <v>72342.31</v>
      </c>
    </row>
    <row r="313" ht="15.0" customHeight="1">
      <c r="A313" s="8">
        <v>149.0</v>
      </c>
      <c r="B313" s="9" t="s">
        <v>1831</v>
      </c>
      <c r="C313" s="10" t="s">
        <v>1835</v>
      </c>
      <c r="D313" s="10"/>
      <c r="E313" s="8" t="s">
        <v>5</v>
      </c>
      <c r="F313" s="11">
        <v>108513.42</v>
      </c>
      <c r="H313" s="22" t="str">
        <f t="shared" si="1"/>
        <v>Aberturas de aluminio Linea Herrero. Ventana Balcón 1.60 x 2.00 Corrediza c/Cortina de PVC c/Vidrio Simple 4mm.</v>
      </c>
      <c r="I313" s="23">
        <f t="shared" si="3"/>
        <v>108513.42</v>
      </c>
    </row>
    <row r="314" ht="15.0" customHeight="1">
      <c r="A314" s="4">
        <v>150.0</v>
      </c>
      <c r="B314" s="5" t="s">
        <v>1831</v>
      </c>
      <c r="C314" s="6" t="s">
        <v>1836</v>
      </c>
      <c r="D314" s="6"/>
      <c r="E314" s="4" t="s">
        <v>5</v>
      </c>
      <c r="F314" s="7">
        <v>98178.85</v>
      </c>
      <c r="H314" s="22" t="str">
        <f t="shared" si="1"/>
        <v>Aberturas de aluminio Linea Herrero. Ventana Balcón 1.60 x 2.00 Corrediza c/Vidrio Simple 4mm.</v>
      </c>
      <c r="I314" s="23">
        <f t="shared" si="3"/>
        <v>98178.85</v>
      </c>
    </row>
    <row r="315" ht="15.0" customHeight="1">
      <c r="A315" s="8">
        <v>152.0</v>
      </c>
      <c r="B315" s="9" t="s">
        <v>1831</v>
      </c>
      <c r="C315" s="10" t="s">
        <v>1837</v>
      </c>
      <c r="D315" s="10"/>
      <c r="E315" s="8" t="s">
        <v>5</v>
      </c>
      <c r="F315" s="11">
        <v>54256.75</v>
      </c>
      <c r="H315" s="22" t="str">
        <f t="shared" si="1"/>
        <v>Aberturas de aluminio Linea Herrero. Ventiluz 1.00 x 0.50 Corredizo c/Vidrio Simple 4mm.</v>
      </c>
      <c r="I315" s="23">
        <f t="shared" si="3"/>
        <v>54256.75</v>
      </c>
    </row>
    <row r="316" ht="15.0" customHeight="1">
      <c r="A316" s="4">
        <v>151.0</v>
      </c>
      <c r="B316" s="5" t="s">
        <v>1831</v>
      </c>
      <c r="C316" s="6" t="s">
        <v>1838</v>
      </c>
      <c r="D316" s="6"/>
      <c r="E316" s="4" t="s">
        <v>5</v>
      </c>
      <c r="F316" s="7">
        <v>310038.41</v>
      </c>
      <c r="H316" s="22" t="str">
        <f t="shared" si="1"/>
        <v>Aberturas de aluminio Linea Modena. Portón Garaje 2.40 x 2.00</v>
      </c>
      <c r="I316" s="23">
        <f t="shared" si="3"/>
        <v>310038.41</v>
      </c>
    </row>
    <row r="317" ht="15.0" customHeight="1">
      <c r="A317" s="8">
        <v>465.0</v>
      </c>
      <c r="B317" s="9" t="s">
        <v>1831</v>
      </c>
      <c r="C317" s="10" t="s">
        <v>1839</v>
      </c>
      <c r="D317" s="10"/>
      <c r="E317" s="8" t="s">
        <v>5</v>
      </c>
      <c r="F317" s="11">
        <v>103346.57</v>
      </c>
      <c r="H317" s="22" t="str">
        <f t="shared" si="1"/>
        <v>Aberturas de aluminio Linea Modena. Puerta de Entrada 0,80 x 2.00 (Exterior)</v>
      </c>
      <c r="I317" s="23">
        <f t="shared" si="3"/>
        <v>103346.57</v>
      </c>
    </row>
    <row r="318" ht="15.0" customHeight="1">
      <c r="A318" s="4">
        <v>464.0</v>
      </c>
      <c r="B318" s="5" t="s">
        <v>1831</v>
      </c>
      <c r="C318" s="6" t="s">
        <v>1840</v>
      </c>
      <c r="D318" s="6"/>
      <c r="E318" s="4" t="s">
        <v>5</v>
      </c>
      <c r="F318" s="7">
        <v>103346.57</v>
      </c>
      <c r="H318" s="22" t="str">
        <f t="shared" si="1"/>
        <v>Aberturas de aluminio Linea Modena. Puerta de Entrada Modelo Vidriado 0,80 x 2.00 (Exterior) c/DVH</v>
      </c>
      <c r="I318" s="23">
        <f t="shared" si="3"/>
        <v>103346.57</v>
      </c>
    </row>
    <row r="319" ht="15.0" customHeight="1">
      <c r="A319" s="8">
        <v>473.0</v>
      </c>
      <c r="B319" s="9" t="s">
        <v>1831</v>
      </c>
      <c r="C319" s="10" t="s">
        <v>1841</v>
      </c>
      <c r="D319" s="10"/>
      <c r="E319" s="8" t="s">
        <v>5</v>
      </c>
      <c r="F319" s="11">
        <v>54256.41</v>
      </c>
      <c r="H319" s="22" t="str">
        <f t="shared" si="1"/>
        <v>Aberturas de aluminio Linea Modena. Ventana 0.60 x 1.10 Oscilobatiente c/DVH</v>
      </c>
      <c r="I319" s="23">
        <f t="shared" si="3"/>
        <v>54256.41</v>
      </c>
    </row>
    <row r="320" ht="15.0" customHeight="1">
      <c r="A320" s="4">
        <v>474.0</v>
      </c>
      <c r="B320" s="5" t="s">
        <v>1831</v>
      </c>
      <c r="C320" s="6" t="s">
        <v>1842</v>
      </c>
      <c r="D320" s="6"/>
      <c r="E320" s="4" t="s">
        <v>5</v>
      </c>
      <c r="F320" s="7">
        <v>54256.41</v>
      </c>
      <c r="H320" s="22" t="str">
        <f t="shared" si="1"/>
        <v>Aberturas de aluminio Linea Modena. Ventana 0.60 x 1.10 Paño Fijo c/DVH</v>
      </c>
      <c r="I320" s="23">
        <f t="shared" si="3"/>
        <v>54256.41</v>
      </c>
    </row>
    <row r="321" ht="15.0" customHeight="1">
      <c r="A321" s="8">
        <v>477.0</v>
      </c>
      <c r="B321" s="9" t="s">
        <v>1831</v>
      </c>
      <c r="C321" s="10" t="s">
        <v>1843</v>
      </c>
      <c r="D321" s="10"/>
      <c r="E321" s="8" t="s">
        <v>5</v>
      </c>
      <c r="F321" s="11">
        <v>54256.41</v>
      </c>
      <c r="H321" s="22" t="str">
        <f t="shared" si="1"/>
        <v>Aberturas de aluminio Linea Modena. Ventana 0.60 x 1.50 Paño Fijo c/DVH</v>
      </c>
      <c r="I321" s="23">
        <f t="shared" si="3"/>
        <v>54256.41</v>
      </c>
    </row>
    <row r="322" ht="15.0" customHeight="1">
      <c r="A322" s="4">
        <v>467.0</v>
      </c>
      <c r="B322" s="5" t="s">
        <v>1831</v>
      </c>
      <c r="C322" s="6" t="s">
        <v>1844</v>
      </c>
      <c r="D322" s="6"/>
      <c r="E322" s="4" t="s">
        <v>5</v>
      </c>
      <c r="F322" s="7">
        <v>77509.93</v>
      </c>
      <c r="H322" s="22" t="str">
        <f t="shared" si="1"/>
        <v>Aberturas de aluminio Linea Modena. Ventana 1.50 x 1.10 Corrediza c/cortina de PVC c/DVH</v>
      </c>
      <c r="I322" s="23">
        <f t="shared" si="3"/>
        <v>77509.93</v>
      </c>
    </row>
    <row r="323" ht="15.0" customHeight="1">
      <c r="A323" s="8">
        <v>466.0</v>
      </c>
      <c r="B323" s="9" t="s">
        <v>1831</v>
      </c>
      <c r="C323" s="10" t="s">
        <v>1845</v>
      </c>
      <c r="D323" s="10"/>
      <c r="E323" s="8" t="s">
        <v>5</v>
      </c>
      <c r="F323" s="11">
        <v>72342.6</v>
      </c>
      <c r="H323" s="22" t="str">
        <f t="shared" si="1"/>
        <v>Aberturas de aluminio Linea Modena. Ventana 1.50 x 1.10 Corrediza c/DVH</v>
      </c>
      <c r="I323" s="23">
        <f t="shared" si="3"/>
        <v>72342.6</v>
      </c>
    </row>
    <row r="324" ht="15.0" customHeight="1">
      <c r="A324" s="4">
        <v>476.0</v>
      </c>
      <c r="B324" s="5" t="s">
        <v>1831</v>
      </c>
      <c r="C324" s="6" t="s">
        <v>1846</v>
      </c>
      <c r="D324" s="6"/>
      <c r="E324" s="4" t="s">
        <v>5</v>
      </c>
      <c r="F324" s="7">
        <v>72342.6</v>
      </c>
      <c r="H324" s="22" t="str">
        <f t="shared" si="1"/>
        <v>Aberturas de aluminio Linea Modena. Ventana 2.00 x 0.60 Corrediza c/DVH</v>
      </c>
      <c r="I324" s="23">
        <f t="shared" si="3"/>
        <v>72342.6</v>
      </c>
    </row>
    <row r="325" ht="15.0" customHeight="1">
      <c r="A325" s="8">
        <v>475.0</v>
      </c>
      <c r="B325" s="9" t="s">
        <v>1831</v>
      </c>
      <c r="C325" s="10" t="s">
        <v>1847</v>
      </c>
      <c r="D325" s="10"/>
      <c r="E325" s="8" t="s">
        <v>5</v>
      </c>
      <c r="F325" s="11">
        <v>98179.24</v>
      </c>
      <c r="H325" s="22" t="str">
        <f t="shared" si="1"/>
        <v>Aberturas de aluminio Linea Modena. Ventana 2.00 x 1.50 Paño Fijo c/DVH</v>
      </c>
      <c r="I325" s="23">
        <f t="shared" si="3"/>
        <v>98179.24</v>
      </c>
    </row>
    <row r="326" ht="15.0" customHeight="1">
      <c r="A326" s="4">
        <v>500.0</v>
      </c>
      <c r="B326" s="5" t="s">
        <v>1831</v>
      </c>
      <c r="C326" s="6" t="s">
        <v>1848</v>
      </c>
      <c r="D326" s="6"/>
      <c r="E326" s="4" t="s">
        <v>5</v>
      </c>
      <c r="F326" s="7">
        <v>122400.0</v>
      </c>
      <c r="H326" s="22" t="str">
        <f t="shared" si="1"/>
        <v>Aberturas de aluminio Linea Modena. Ventana 3.00 x 1.50 Paño Fijo c/DVH</v>
      </c>
      <c r="I326" s="23">
        <f t="shared" si="3"/>
        <v>122400</v>
      </c>
    </row>
    <row r="327" ht="15.0" customHeight="1">
      <c r="A327" s="8">
        <v>469.0</v>
      </c>
      <c r="B327" s="9" t="s">
        <v>1831</v>
      </c>
      <c r="C327" s="10" t="s">
        <v>1849</v>
      </c>
      <c r="D327" s="10"/>
      <c r="E327" s="8" t="s">
        <v>5</v>
      </c>
      <c r="F327" s="11">
        <v>108513.9</v>
      </c>
      <c r="H327" s="22" t="str">
        <f t="shared" si="1"/>
        <v>Aberturas de aluminio Linea Modena. Ventana Balcón 1.60 x 2.00 Corrediza c/Cortina de PVC c/DVH</v>
      </c>
      <c r="I327" s="23">
        <f t="shared" si="3"/>
        <v>108513.9</v>
      </c>
    </row>
    <row r="328" ht="15.0" customHeight="1">
      <c r="A328" s="4">
        <v>468.0</v>
      </c>
      <c r="B328" s="5" t="s">
        <v>1831</v>
      </c>
      <c r="C328" s="6" t="s">
        <v>1850</v>
      </c>
      <c r="D328" s="6"/>
      <c r="E328" s="4" t="s">
        <v>5</v>
      </c>
      <c r="F328" s="7">
        <v>98179.24</v>
      </c>
      <c r="H328" s="22" t="str">
        <f t="shared" si="1"/>
        <v>Aberturas de aluminio Linea Modena. Ventana Balcón 1.60 x 2.00 Corrediza c/DVH</v>
      </c>
      <c r="I328" s="23">
        <f t="shared" si="3"/>
        <v>98179.24</v>
      </c>
    </row>
    <row r="329" ht="15.0" customHeight="1">
      <c r="A329" s="8">
        <v>471.0</v>
      </c>
      <c r="B329" s="9" t="s">
        <v>1831</v>
      </c>
      <c r="C329" s="10" t="s">
        <v>1851</v>
      </c>
      <c r="D329" s="10"/>
      <c r="E329" s="8" t="s">
        <v>5</v>
      </c>
      <c r="F329" s="11">
        <v>108513.9</v>
      </c>
      <c r="H329" s="22" t="str">
        <f t="shared" si="1"/>
        <v>Aberturas de aluminio Linea Modena. Ventana Balcón 2.00 x 2.00 Corrediza c/Cortina de PVC c/DVH</v>
      </c>
      <c r="I329" s="23">
        <f t="shared" si="3"/>
        <v>108513.9</v>
      </c>
    </row>
    <row r="330" ht="15.0" customHeight="1">
      <c r="A330" s="4">
        <v>470.0</v>
      </c>
      <c r="B330" s="5" t="s">
        <v>1831</v>
      </c>
      <c r="C330" s="6" t="s">
        <v>1852</v>
      </c>
      <c r="D330" s="6"/>
      <c r="E330" s="4" t="s">
        <v>5</v>
      </c>
      <c r="F330" s="7">
        <v>98179.24</v>
      </c>
      <c r="H330" s="22" t="str">
        <f t="shared" si="1"/>
        <v>Aberturas de aluminio Linea Modena. Ventana Balcón 2.00 x 2.00 Corrediza c/DVH</v>
      </c>
      <c r="I330" s="23">
        <f t="shared" si="3"/>
        <v>98179.24</v>
      </c>
    </row>
    <row r="331" ht="15.0" customHeight="1">
      <c r="A331" s="8">
        <v>472.0</v>
      </c>
      <c r="B331" s="9" t="s">
        <v>1831</v>
      </c>
      <c r="C331" s="10" t="s">
        <v>1853</v>
      </c>
      <c r="D331" s="10"/>
      <c r="E331" s="8" t="s">
        <v>5</v>
      </c>
      <c r="F331" s="11">
        <v>54256.41</v>
      </c>
      <c r="H331" s="22" t="str">
        <f t="shared" si="1"/>
        <v>Aberturas de aluminio Linea Modena. Ventiluz 1.00 x 0.50 Corredizo c/DVH.</v>
      </c>
      <c r="I331" s="23">
        <f t="shared" si="3"/>
        <v>54256.41</v>
      </c>
    </row>
    <row r="332" ht="15.0" customHeight="1">
      <c r="A332" s="4">
        <v>488.0</v>
      </c>
      <c r="B332" s="5" t="s">
        <v>1854</v>
      </c>
      <c r="C332" s="6" t="s">
        <v>1855</v>
      </c>
      <c r="D332" s="6"/>
      <c r="E332" s="4" t="s">
        <v>5</v>
      </c>
      <c r="F332" s="7">
        <v>103346.57</v>
      </c>
      <c r="H332" s="22" t="str">
        <f t="shared" si="1"/>
        <v>Aberturas de PVC PVC Estándar. Puerta de Entrada Seguridad 0.80 x 2.00</v>
      </c>
      <c r="I332" s="23">
        <f t="shared" si="3"/>
        <v>103346.57</v>
      </c>
    </row>
    <row r="333" ht="15.0" customHeight="1">
      <c r="A333" s="8">
        <v>489.0</v>
      </c>
      <c r="B333" s="9" t="s">
        <v>1854</v>
      </c>
      <c r="C333" s="10" t="s">
        <v>1856</v>
      </c>
      <c r="D333" s="10"/>
      <c r="E333" s="8" t="s">
        <v>5</v>
      </c>
      <c r="F333" s="11">
        <v>103346.57</v>
      </c>
      <c r="H333" s="22" t="str">
        <f t="shared" si="1"/>
        <v>Aberturas de PVC PVC Estándar. Puerta Vidriada 0.80 x 2.00 c/DVH</v>
      </c>
      <c r="I333" s="23">
        <f t="shared" si="3"/>
        <v>103346.57</v>
      </c>
    </row>
    <row r="334" ht="15.0" customHeight="1">
      <c r="A334" s="4">
        <v>480.0</v>
      </c>
      <c r="B334" s="5" t="s">
        <v>1854</v>
      </c>
      <c r="C334" s="6" t="s">
        <v>1857</v>
      </c>
      <c r="D334" s="6"/>
      <c r="E334" s="4" t="s">
        <v>5</v>
      </c>
      <c r="F334" s="7">
        <v>98179.24</v>
      </c>
      <c r="H334" s="22" t="str">
        <f t="shared" si="1"/>
        <v>Aberturas de PVC PVC Estándar. Ventana Balcón Corrediza 1.50 x 2.00 c/DVH</v>
      </c>
      <c r="I334" s="23">
        <f t="shared" si="3"/>
        <v>98179.24</v>
      </c>
    </row>
    <row r="335" ht="15.0" customHeight="1">
      <c r="A335" s="8">
        <v>481.0</v>
      </c>
      <c r="B335" s="9" t="s">
        <v>1854</v>
      </c>
      <c r="C335" s="10" t="s">
        <v>1858</v>
      </c>
      <c r="D335" s="10"/>
      <c r="E335" s="8" t="s">
        <v>5</v>
      </c>
      <c r="F335" s="11">
        <v>98179.24</v>
      </c>
      <c r="H335" s="22" t="str">
        <f t="shared" si="1"/>
        <v>Aberturas de PVC PVC Estándar. Ventana Balcón Corrediza 2.00 x 2.00 c/DVH</v>
      </c>
      <c r="I335" s="23">
        <f t="shared" si="3"/>
        <v>98179.24</v>
      </c>
    </row>
    <row r="336" ht="15.0" customHeight="1">
      <c r="A336" s="4">
        <v>483.0</v>
      </c>
      <c r="B336" s="5" t="s">
        <v>1854</v>
      </c>
      <c r="C336" s="6" t="s">
        <v>1859</v>
      </c>
      <c r="D336" s="6"/>
      <c r="E336" s="4" t="s">
        <v>5</v>
      </c>
      <c r="F336" s="7">
        <v>72342.6</v>
      </c>
      <c r="H336" s="22" t="str">
        <f t="shared" si="1"/>
        <v>Aberturas de PVC PVC Estándar. Ventana Corrediza 0.60 x 2.00 c/DVH</v>
      </c>
      <c r="I336" s="23">
        <f t="shared" si="3"/>
        <v>72342.6</v>
      </c>
    </row>
    <row r="337" ht="15.0" customHeight="1">
      <c r="A337" s="8">
        <v>478.0</v>
      </c>
      <c r="B337" s="9" t="s">
        <v>1854</v>
      </c>
      <c r="C337" s="10" t="s">
        <v>1860</v>
      </c>
      <c r="D337" s="10"/>
      <c r="E337" s="8" t="s">
        <v>5</v>
      </c>
      <c r="F337" s="11">
        <v>72342.6</v>
      </c>
      <c r="H337" s="22" t="str">
        <f t="shared" si="1"/>
        <v>Aberturas de PVC PVC Estándar. Ventana Corrediza 1.50 x 1.10 c/DVH</v>
      </c>
      <c r="I337" s="23">
        <f t="shared" si="3"/>
        <v>72342.6</v>
      </c>
    </row>
    <row r="338" ht="15.0" customHeight="1">
      <c r="A338" s="4">
        <v>485.0</v>
      </c>
      <c r="B338" s="5" t="s">
        <v>1854</v>
      </c>
      <c r="C338" s="6" t="s">
        <v>1861</v>
      </c>
      <c r="D338" s="6"/>
      <c r="E338" s="4" t="s">
        <v>5</v>
      </c>
      <c r="F338" s="7">
        <v>54256.41</v>
      </c>
      <c r="H338" s="22" t="str">
        <f t="shared" si="1"/>
        <v>Aberturas de PVC PVC Estándar. Ventana Oscilobatiente 0.60 x 1.10 c/DVH</v>
      </c>
      <c r="I338" s="23">
        <f t="shared" si="3"/>
        <v>54256.41</v>
      </c>
    </row>
    <row r="339" ht="15.0" customHeight="1">
      <c r="A339" s="8">
        <v>484.0</v>
      </c>
      <c r="B339" s="9" t="s">
        <v>1854</v>
      </c>
      <c r="C339" s="10" t="s">
        <v>1862</v>
      </c>
      <c r="D339" s="10"/>
      <c r="E339" s="8" t="s">
        <v>5</v>
      </c>
      <c r="F339" s="11">
        <v>54256.41</v>
      </c>
      <c r="H339" s="22" t="str">
        <f t="shared" si="1"/>
        <v>Aberturas de PVC PVC Estándar. Ventana Oscilobatiente 0.60 x 1.50 c/DVH</v>
      </c>
      <c r="I339" s="23">
        <f t="shared" si="3"/>
        <v>54256.41</v>
      </c>
    </row>
    <row r="340" ht="15.0" customHeight="1">
      <c r="A340" s="4">
        <v>487.0</v>
      </c>
      <c r="B340" s="5" t="s">
        <v>1854</v>
      </c>
      <c r="C340" s="6" t="s">
        <v>1863</v>
      </c>
      <c r="D340" s="6"/>
      <c r="E340" s="4" t="s">
        <v>5</v>
      </c>
      <c r="F340" s="7">
        <v>54256.41</v>
      </c>
      <c r="H340" s="22" t="str">
        <f t="shared" si="1"/>
        <v>Aberturas de PVC PVC Estándar. Ventana Paño Fijo 0.60 x 1.10 c/DVH</v>
      </c>
      <c r="I340" s="23">
        <f t="shared" si="3"/>
        <v>54256.41</v>
      </c>
    </row>
    <row r="341" ht="15.0" customHeight="1">
      <c r="A341" s="8">
        <v>486.0</v>
      </c>
      <c r="B341" s="9" t="s">
        <v>1854</v>
      </c>
      <c r="C341" s="10" t="s">
        <v>1864</v>
      </c>
      <c r="D341" s="10"/>
      <c r="E341" s="8" t="s">
        <v>5</v>
      </c>
      <c r="F341" s="11">
        <v>54256.41</v>
      </c>
      <c r="H341" s="22" t="str">
        <f t="shared" si="1"/>
        <v>Aberturas de PVC PVC Estándar. Ventana Paño Fijo 0.60 x 1.50 c/DVH</v>
      </c>
      <c r="I341" s="23">
        <f t="shared" si="3"/>
        <v>54256.41</v>
      </c>
    </row>
    <row r="342" ht="15.0" customHeight="1">
      <c r="A342" s="4">
        <v>482.0</v>
      </c>
      <c r="B342" s="5" t="s">
        <v>1854</v>
      </c>
      <c r="C342" s="6" t="s">
        <v>1865</v>
      </c>
      <c r="D342" s="6"/>
      <c r="E342" s="4" t="s">
        <v>5</v>
      </c>
      <c r="F342" s="7">
        <v>98179.24</v>
      </c>
      <c r="H342" s="22" t="str">
        <f t="shared" si="1"/>
        <v>Aberturas de PVC PVC Estándar. Ventana Paño Fijo 2.00 x 1.50 c/DVH</v>
      </c>
      <c r="I342" s="23">
        <f t="shared" si="3"/>
        <v>98179.24</v>
      </c>
    </row>
    <row r="343" ht="15.0" customHeight="1">
      <c r="A343" s="8">
        <v>479.0</v>
      </c>
      <c r="B343" s="9" t="s">
        <v>1854</v>
      </c>
      <c r="C343" s="10" t="s">
        <v>1866</v>
      </c>
      <c r="D343" s="10"/>
      <c r="E343" s="8" t="s">
        <v>5</v>
      </c>
      <c r="F343" s="11">
        <v>54256.41</v>
      </c>
      <c r="H343" s="22" t="str">
        <f t="shared" si="1"/>
        <v>Aberturas de PVC PVC Estándar. Ventiluz Corrediza 1.20 x 0.60 c/DVH</v>
      </c>
      <c r="I343" s="23">
        <f t="shared" si="3"/>
        <v>54256.41</v>
      </c>
    </row>
    <row r="344" ht="15.0" customHeight="1">
      <c r="A344" s="4">
        <v>123.0</v>
      </c>
      <c r="B344" s="5" t="s">
        <v>1867</v>
      </c>
      <c r="C344" s="6" t="s">
        <v>1868</v>
      </c>
      <c r="D344" s="6"/>
      <c r="E344" s="4" t="s">
        <v>22</v>
      </c>
      <c r="F344" s="7">
        <v>20915.27</v>
      </c>
      <c r="H344" s="22" t="str">
        <f t="shared" si="1"/>
        <v>Cristales Vidrio de 4mm</v>
      </c>
      <c r="I344" s="23">
        <f t="shared" si="3"/>
        <v>20915.27</v>
      </c>
    </row>
    <row r="345" ht="15.0" customHeight="1">
      <c r="A345" s="8">
        <v>124.0</v>
      </c>
      <c r="B345" s="9" t="s">
        <v>1867</v>
      </c>
      <c r="C345" s="10" t="s">
        <v>1869</v>
      </c>
      <c r="D345" s="10"/>
      <c r="E345" s="8" t="s">
        <v>22</v>
      </c>
      <c r="F345" s="11">
        <v>24606.24</v>
      </c>
      <c r="H345" s="22" t="str">
        <f t="shared" si="1"/>
        <v>Cristales Vidrio de 6mm</v>
      </c>
      <c r="I345" s="23">
        <f t="shared" si="3"/>
        <v>24606.24</v>
      </c>
    </row>
    <row r="346" ht="15.0" customHeight="1">
      <c r="A346" s="4">
        <v>125.0</v>
      </c>
      <c r="B346" s="5" t="s">
        <v>1867</v>
      </c>
      <c r="C346" s="6" t="s">
        <v>1870</v>
      </c>
      <c r="D346" s="6"/>
      <c r="E346" s="4" t="s">
        <v>22</v>
      </c>
      <c r="F346" s="7">
        <v>49212.43</v>
      </c>
      <c r="H346" s="22" t="str">
        <f t="shared" si="1"/>
        <v>Cristales Vidrio Laminado 3+3</v>
      </c>
      <c r="I346" s="23">
        <f t="shared" si="3"/>
        <v>49212.43</v>
      </c>
    </row>
    <row r="347" ht="15.0" customHeight="1">
      <c r="A347" s="8">
        <v>129.0</v>
      </c>
      <c r="B347" s="9" t="s">
        <v>1871</v>
      </c>
      <c r="C347" s="10" t="s">
        <v>1872</v>
      </c>
      <c r="D347" s="10"/>
      <c r="E347" s="8" t="s">
        <v>5</v>
      </c>
      <c r="F347" s="11">
        <v>406925.46</v>
      </c>
      <c r="H347" s="22" t="str">
        <f t="shared" si="1"/>
        <v>Colocación de artefactos sanitarios, accesorios y grifería Baño Completo (inodoro c/mochila, bidet, lavatorio y bañera)</v>
      </c>
      <c r="I347" s="23">
        <f t="shared" si="3"/>
        <v>406925.46</v>
      </c>
    </row>
    <row r="348" ht="15.0" customHeight="1">
      <c r="A348" s="4">
        <v>490.0</v>
      </c>
      <c r="B348" s="5" t="s">
        <v>1871</v>
      </c>
      <c r="C348" s="6" t="s">
        <v>1873</v>
      </c>
      <c r="D348" s="6"/>
      <c r="E348" s="4" t="s">
        <v>515</v>
      </c>
      <c r="F348" s="7">
        <v>406926.0</v>
      </c>
      <c r="H348" s="22" t="str">
        <f t="shared" si="1"/>
        <v>Colocación de artefactos sanitarios, accesorios y grifería Baño Completo c/Ducha (inodoro c/mochila, bidet, lavatorio y receptáculo ducha)</v>
      </c>
      <c r="I348" s="23">
        <f t="shared" si="3"/>
        <v>406926</v>
      </c>
    </row>
    <row r="349" ht="15.0" customHeight="1">
      <c r="A349" s="8">
        <v>130.0</v>
      </c>
      <c r="B349" s="9" t="s">
        <v>1871</v>
      </c>
      <c r="C349" s="10" t="s">
        <v>1874</v>
      </c>
      <c r="D349" s="10"/>
      <c r="E349" s="8" t="s">
        <v>5</v>
      </c>
      <c r="F349" s="11">
        <v>176334.39</v>
      </c>
      <c r="H349" s="22" t="str">
        <f t="shared" si="1"/>
        <v>Colocación de artefactos sanitarios, accesorios y grifería Lavadero y cocina</v>
      </c>
      <c r="I349" s="23">
        <f t="shared" si="3"/>
        <v>176334.39</v>
      </c>
    </row>
    <row r="350" ht="15.0" customHeight="1">
      <c r="A350" s="4">
        <v>131.0</v>
      </c>
      <c r="B350" s="5" t="s">
        <v>1871</v>
      </c>
      <c r="C350" s="6" t="s">
        <v>1875</v>
      </c>
      <c r="D350" s="6"/>
      <c r="E350" s="4" t="s">
        <v>5</v>
      </c>
      <c r="F350" s="7">
        <v>189898.56</v>
      </c>
      <c r="H350" s="22" t="str">
        <f t="shared" si="1"/>
        <v>Colocación de artefactos sanitarios, accesorios y grifería Toilette c/depósito a mochila</v>
      </c>
      <c r="I350" s="23">
        <f t="shared" si="3"/>
        <v>189898.56</v>
      </c>
    </row>
    <row r="351" ht="15.0" customHeight="1">
      <c r="A351" s="8">
        <v>224.0</v>
      </c>
      <c r="B351" s="9" t="s">
        <v>1876</v>
      </c>
      <c r="C351" s="10" t="s">
        <v>1877</v>
      </c>
      <c r="D351" s="10"/>
      <c r="E351" s="8" t="s">
        <v>5</v>
      </c>
      <c r="F351" s="11">
        <v>54553.32</v>
      </c>
      <c r="H351" s="22" t="str">
        <f t="shared" si="1"/>
        <v>Colocación de artefactos a gas Colocación Anafe, (sin ventilación)</v>
      </c>
      <c r="I351" s="23">
        <f t="shared" si="3"/>
        <v>54553.32</v>
      </c>
    </row>
    <row r="352" ht="15.0" customHeight="1">
      <c r="A352" s="4">
        <v>222.0</v>
      </c>
      <c r="B352" s="5" t="s">
        <v>1876</v>
      </c>
      <c r="C352" s="6" t="s">
        <v>1878</v>
      </c>
      <c r="D352" s="6" t="s">
        <v>1879</v>
      </c>
      <c r="E352" s="4" t="s">
        <v>5</v>
      </c>
      <c r="F352" s="7">
        <v>259777.75</v>
      </c>
      <c r="H352" s="22" t="str">
        <f t="shared" si="1"/>
        <v>Colocación de artefactos a gas Colocación Caldera Dual, (con ventilación)</v>
      </c>
      <c r="I352" s="23">
        <f t="shared" si="3"/>
        <v>259777.75</v>
      </c>
    </row>
    <row r="353" ht="15.0" customHeight="1">
      <c r="A353" s="8">
        <v>214.0</v>
      </c>
      <c r="B353" s="9" t="s">
        <v>1876</v>
      </c>
      <c r="C353" s="10" t="s">
        <v>1880</v>
      </c>
      <c r="D353" s="10"/>
      <c r="E353" s="8" t="s">
        <v>5</v>
      </c>
      <c r="F353" s="11">
        <v>110405.54</v>
      </c>
      <c r="H353" s="22" t="str">
        <f t="shared" si="1"/>
        <v>Colocación de artefactos a gas Colocación Calefactor 3000 cal., (tiro natural)</v>
      </c>
      <c r="I353" s="23">
        <f t="shared" si="3"/>
        <v>110405.54</v>
      </c>
    </row>
    <row r="354" ht="15.0" customHeight="1">
      <c r="A354" s="4">
        <v>194.0</v>
      </c>
      <c r="B354" s="5" t="s">
        <v>1876</v>
      </c>
      <c r="C354" s="6" t="s">
        <v>1881</v>
      </c>
      <c r="D354" s="6"/>
      <c r="E354" s="4" t="s">
        <v>5</v>
      </c>
      <c r="F354" s="7">
        <v>110405.54</v>
      </c>
      <c r="H354" s="22" t="str">
        <f t="shared" si="1"/>
        <v>Colocación de artefactos a gas Colocación Calefactor 5000 cal., (tiro natural)</v>
      </c>
      <c r="I354" s="23">
        <f t="shared" si="3"/>
        <v>110405.54</v>
      </c>
    </row>
    <row r="355" ht="15.0" customHeight="1">
      <c r="A355" s="8">
        <v>330.0</v>
      </c>
      <c r="B355" s="9" t="s">
        <v>1876</v>
      </c>
      <c r="C355" s="10" t="s">
        <v>1882</v>
      </c>
      <c r="D355" s="10"/>
      <c r="E355" s="8" t="s">
        <v>5</v>
      </c>
      <c r="F355" s="11">
        <v>92221.13</v>
      </c>
      <c r="H355" s="22" t="str">
        <f t="shared" si="1"/>
        <v>Colocación de artefactos a gas Colocación Calefactor sin salida</v>
      </c>
      <c r="I355" s="23">
        <f t="shared" si="3"/>
        <v>92221.13</v>
      </c>
    </row>
    <row r="356" ht="15.0" customHeight="1">
      <c r="A356" s="4">
        <v>331.0</v>
      </c>
      <c r="B356" s="5" t="s">
        <v>1876</v>
      </c>
      <c r="C356" s="6" t="s">
        <v>1883</v>
      </c>
      <c r="D356" s="6"/>
      <c r="E356" s="4" t="s">
        <v>5</v>
      </c>
      <c r="F356" s="7">
        <v>184442.2</v>
      </c>
      <c r="H356" s="22" t="str">
        <f t="shared" si="1"/>
        <v>Colocación de artefactos a gas Colocación Calefactor TBU (hasta 6mts)</v>
      </c>
      <c r="I356" s="23">
        <f t="shared" si="3"/>
        <v>184442.2</v>
      </c>
    </row>
    <row r="357" ht="15.0" customHeight="1">
      <c r="A357" s="8">
        <v>193.0</v>
      </c>
      <c r="B357" s="9" t="s">
        <v>1876</v>
      </c>
      <c r="C357" s="10" t="s">
        <v>1884</v>
      </c>
      <c r="D357" s="10"/>
      <c r="E357" s="8" t="s">
        <v>5</v>
      </c>
      <c r="F357" s="11">
        <v>184442.2</v>
      </c>
      <c r="H357" s="22" t="str">
        <f t="shared" si="1"/>
        <v>Colocación de artefactos a gas Colocación Calefon 14 lts, (con ventilación)</v>
      </c>
      <c r="I357" s="23">
        <f t="shared" si="3"/>
        <v>184442.2</v>
      </c>
    </row>
    <row r="358" ht="15.0" customHeight="1">
      <c r="A358" s="4">
        <v>332.0</v>
      </c>
      <c r="B358" s="5" t="s">
        <v>1876</v>
      </c>
      <c r="C358" s="6" t="s">
        <v>1885</v>
      </c>
      <c r="D358" s="6"/>
      <c r="E358" s="4" t="s">
        <v>5</v>
      </c>
      <c r="F358" s="7">
        <v>184442.2</v>
      </c>
      <c r="H358" s="22" t="str">
        <f t="shared" si="1"/>
        <v>Colocación de artefactos a gas Colocación Calefon 15 lts, (con ventilación)</v>
      </c>
      <c r="I358" s="23">
        <f t="shared" si="3"/>
        <v>184442.2</v>
      </c>
    </row>
    <row r="359" ht="15.0" customHeight="1">
      <c r="A359" s="8">
        <v>333.0</v>
      </c>
      <c r="B359" s="9" t="s">
        <v>1876</v>
      </c>
      <c r="C359" s="10" t="s">
        <v>1886</v>
      </c>
      <c r="D359" s="10"/>
      <c r="E359" s="8" t="s">
        <v>5</v>
      </c>
      <c r="F359" s="11">
        <v>142877.78</v>
      </c>
      <c r="H359" s="22" t="str">
        <f t="shared" si="1"/>
        <v>Colocación de artefactos a gas Colocación Cocina Industrial, (Sin Ventilación)</v>
      </c>
      <c r="I359" s="23">
        <f t="shared" si="3"/>
        <v>142877.78</v>
      </c>
    </row>
    <row r="360" ht="15.0" customHeight="1">
      <c r="A360" s="4">
        <v>191.0</v>
      </c>
      <c r="B360" s="5" t="s">
        <v>1876</v>
      </c>
      <c r="C360" s="6" t="s">
        <v>1887</v>
      </c>
      <c r="D360" s="6"/>
      <c r="E360" s="4" t="s">
        <v>5</v>
      </c>
      <c r="F360" s="7">
        <v>142877.78</v>
      </c>
      <c r="H360" s="22" t="str">
        <f t="shared" si="1"/>
        <v>Colocación de artefactos a gas Colocación Cocina, (sin ventilación)</v>
      </c>
      <c r="I360" s="23">
        <f t="shared" si="3"/>
        <v>142877.78</v>
      </c>
    </row>
    <row r="361" ht="15.0" customHeight="1">
      <c r="A361" s="8">
        <v>223.0</v>
      </c>
      <c r="B361" s="9" t="s">
        <v>1876</v>
      </c>
      <c r="C361" s="10" t="s">
        <v>1888</v>
      </c>
      <c r="D361" s="10"/>
      <c r="E361" s="8" t="s">
        <v>5</v>
      </c>
      <c r="F361" s="11">
        <v>129369.32</v>
      </c>
      <c r="H361" s="22" t="str">
        <f t="shared" si="1"/>
        <v>Colocación de artefactos a gas Colocación Horno, (sin ventilación)</v>
      </c>
      <c r="I361" s="23">
        <f t="shared" si="3"/>
        <v>129369.32</v>
      </c>
    </row>
    <row r="362" ht="15.0" customHeight="1">
      <c r="A362" s="4">
        <v>328.0</v>
      </c>
      <c r="B362" s="5" t="s">
        <v>1876</v>
      </c>
      <c r="C362" s="6" t="s">
        <v>1889</v>
      </c>
      <c r="D362" s="6"/>
      <c r="E362" s="4" t="s">
        <v>5</v>
      </c>
      <c r="F362" s="7">
        <v>73776.89</v>
      </c>
      <c r="H362" s="22" t="str">
        <f t="shared" si="1"/>
        <v>Colocación de artefactos a gas Colocación Leño</v>
      </c>
      <c r="I362" s="23">
        <f t="shared" si="3"/>
        <v>73776.89</v>
      </c>
    </row>
    <row r="363" ht="15.0" customHeight="1">
      <c r="A363" s="8">
        <v>347.0</v>
      </c>
      <c r="B363" s="9" t="s">
        <v>1876</v>
      </c>
      <c r="C363" s="10" t="s">
        <v>1890</v>
      </c>
      <c r="D363" s="10"/>
      <c r="E363" s="8" t="s">
        <v>5</v>
      </c>
      <c r="F363" s="11">
        <v>73776.89</v>
      </c>
      <c r="H363" s="22" t="str">
        <f t="shared" si="1"/>
        <v>Colocación de artefactos a gas Colocación Medidor con Regulador</v>
      </c>
      <c r="I363" s="23">
        <f t="shared" si="3"/>
        <v>73776.89</v>
      </c>
    </row>
    <row r="364" ht="15.0" customHeight="1">
      <c r="A364" s="4">
        <v>329.0</v>
      </c>
      <c r="B364" s="5" t="s">
        <v>1876</v>
      </c>
      <c r="C364" s="6" t="s">
        <v>1891</v>
      </c>
      <c r="D364" s="6"/>
      <c r="E364" s="4" t="s">
        <v>5</v>
      </c>
      <c r="F364" s="7">
        <v>73776.89</v>
      </c>
      <c r="H364" s="22" t="str">
        <f t="shared" si="1"/>
        <v>Colocación de artefactos a gas Colocación Pantalla IR</v>
      </c>
      <c r="I364" s="23">
        <f t="shared" si="3"/>
        <v>73776.89</v>
      </c>
    </row>
    <row r="365" ht="15.0" customHeight="1">
      <c r="A365" s="8">
        <v>334.0</v>
      </c>
      <c r="B365" s="9" t="s">
        <v>1876</v>
      </c>
      <c r="C365" s="10" t="s">
        <v>1892</v>
      </c>
      <c r="D365" s="10"/>
      <c r="E365" s="8" t="s">
        <v>5</v>
      </c>
      <c r="F365" s="11">
        <v>55462.56</v>
      </c>
      <c r="H365" s="22" t="str">
        <f t="shared" si="1"/>
        <v>Colocación de artefactos a gas Colocación Par de rejas de ventilación</v>
      </c>
      <c r="I365" s="23">
        <f t="shared" si="3"/>
        <v>55462.56</v>
      </c>
    </row>
    <row r="366" ht="15.0" customHeight="1">
      <c r="A366" s="4">
        <v>192.0</v>
      </c>
      <c r="B366" s="5" t="s">
        <v>1876</v>
      </c>
      <c r="C366" s="6" t="s">
        <v>1893</v>
      </c>
      <c r="D366" s="6"/>
      <c r="E366" s="4" t="s">
        <v>5</v>
      </c>
      <c r="F366" s="7">
        <v>129369.32</v>
      </c>
      <c r="H366" s="22" t="str">
        <f t="shared" si="1"/>
        <v>Colocación de artefactos a gas Colocación Termotanque 80lts., (con ventilación)</v>
      </c>
      <c r="I366" s="23">
        <f t="shared" si="3"/>
        <v>129369.32</v>
      </c>
    </row>
    <row r="367" ht="15.0" customHeight="1">
      <c r="A367" s="8">
        <v>225.0</v>
      </c>
      <c r="B367" s="9" t="s">
        <v>1894</v>
      </c>
      <c r="C367" s="10" t="s">
        <v>1895</v>
      </c>
      <c r="D367" s="10" t="s">
        <v>1896</v>
      </c>
      <c r="E367" s="8" t="s">
        <v>5</v>
      </c>
      <c r="F367" s="11">
        <v>1505900.89</v>
      </c>
      <c r="H367" s="22" t="str">
        <f t="shared" si="1"/>
        <v>Calefacción. (Piso Radiante, Radiadores y Split)   Calefacción por Piso Radiante para vivienda de 80m2 (una planta) </v>
      </c>
      <c r="I367" s="23">
        <f t="shared" si="3"/>
        <v>1505900.89</v>
      </c>
    </row>
    <row r="368" ht="15.0" customHeight="1">
      <c r="A368" s="4">
        <v>501.0</v>
      </c>
      <c r="B368" s="5" t="s">
        <v>1894</v>
      </c>
      <c r="C368" s="6" t="s">
        <v>1897</v>
      </c>
      <c r="D368" s="6" t="s">
        <v>1898</v>
      </c>
      <c r="E368" s="4" t="s">
        <v>5</v>
      </c>
      <c r="F368" s="7">
        <v>3264000.0</v>
      </c>
      <c r="H368" s="22" t="str">
        <f t="shared" si="1"/>
        <v>Calefacción. (Piso Radiante, Radiadores y Split)   Calefacción por Radiadores para vivienda de 120m2 (dos plantas)</v>
      </c>
      <c r="I368" s="23">
        <f t="shared" si="3"/>
        <v>3264000</v>
      </c>
    </row>
    <row r="369" ht="15.0" customHeight="1">
      <c r="A369" s="8">
        <v>226.0</v>
      </c>
      <c r="B369" s="9" t="s">
        <v>1894</v>
      </c>
      <c r="C369" s="10" t="s">
        <v>1899</v>
      </c>
      <c r="D369" s="10" t="s">
        <v>1900</v>
      </c>
      <c r="E369" s="8" t="s">
        <v>5</v>
      </c>
      <c r="F369" s="11">
        <v>1882376.13</v>
      </c>
      <c r="H369" s="22" t="str">
        <f t="shared" si="1"/>
        <v>Calefacción. (Piso Radiante, Radiadores y Split)   Calefacción por Radiadores para vivienda de 80 m2 (una planta) </v>
      </c>
      <c r="I369" s="23">
        <f t="shared" si="3"/>
        <v>1882376.13</v>
      </c>
    </row>
    <row r="370" ht="15.0" customHeight="1">
      <c r="A370" s="4">
        <v>405.0</v>
      </c>
      <c r="B370" s="5" t="s">
        <v>1894</v>
      </c>
      <c r="C370" s="6" t="s">
        <v>1901</v>
      </c>
      <c r="D370" s="6"/>
      <c r="E370" s="4" t="s">
        <v>5</v>
      </c>
      <c r="F370" s="7">
        <v>102338.45</v>
      </c>
      <c r="H370" s="22" t="str">
        <f t="shared" si="1"/>
        <v>Calefacción. (Piso Radiante, Radiadores y Split)   Colocación de Radiador (12 elementos.)</v>
      </c>
      <c r="I370" s="23">
        <f t="shared" si="3"/>
        <v>102338.45</v>
      </c>
    </row>
    <row r="371" ht="15.0" customHeight="1">
      <c r="A371" s="8">
        <v>401.0</v>
      </c>
      <c r="B371" s="9" t="s">
        <v>1894</v>
      </c>
      <c r="C371" s="10" t="s">
        <v>1902</v>
      </c>
      <c r="D371" s="10"/>
      <c r="E371" s="8" t="s">
        <v>5</v>
      </c>
      <c r="F371" s="11">
        <v>102338.45</v>
      </c>
      <c r="H371" s="22" t="str">
        <f t="shared" si="1"/>
        <v>Calefacción. (Piso Radiante, Radiadores y Split)   Colocación de Radiador (2 elementos.)</v>
      </c>
      <c r="I371" s="23">
        <f t="shared" si="3"/>
        <v>102338.45</v>
      </c>
    </row>
    <row r="372" ht="15.0" customHeight="1">
      <c r="A372" s="4">
        <v>402.0</v>
      </c>
      <c r="B372" s="5" t="s">
        <v>1894</v>
      </c>
      <c r="C372" s="6" t="s">
        <v>1903</v>
      </c>
      <c r="D372" s="6"/>
      <c r="E372" s="4" t="s">
        <v>5</v>
      </c>
      <c r="F372" s="7">
        <v>102338.45</v>
      </c>
      <c r="H372" s="22" t="str">
        <f t="shared" si="1"/>
        <v>Calefacción. (Piso Radiante, Radiadores y Split)   Colocación de Radiador (3 elementos.)</v>
      </c>
      <c r="I372" s="23">
        <f t="shared" si="3"/>
        <v>102338.45</v>
      </c>
    </row>
    <row r="373" ht="15.0" customHeight="1">
      <c r="A373" s="8">
        <v>403.0</v>
      </c>
      <c r="B373" s="9" t="s">
        <v>1894</v>
      </c>
      <c r="C373" s="10" t="s">
        <v>1904</v>
      </c>
      <c r="D373" s="10"/>
      <c r="E373" s="8" t="s">
        <v>5</v>
      </c>
      <c r="F373" s="11">
        <v>102338.45</v>
      </c>
      <c r="H373" s="22" t="str">
        <f t="shared" si="1"/>
        <v>Calefacción. (Piso Radiante, Radiadores y Split)   Colocación de Radiador (6 elementos.)</v>
      </c>
      <c r="I373" s="23">
        <f t="shared" si="3"/>
        <v>102338.45</v>
      </c>
    </row>
    <row r="374" ht="15.0" customHeight="1">
      <c r="A374" s="4">
        <v>404.0</v>
      </c>
      <c r="B374" s="5" t="s">
        <v>1894</v>
      </c>
      <c r="C374" s="6" t="s">
        <v>1905</v>
      </c>
      <c r="D374" s="6"/>
      <c r="E374" s="4" t="s">
        <v>5</v>
      </c>
      <c r="F374" s="7">
        <v>102338.45</v>
      </c>
      <c r="H374" s="22" t="str">
        <f t="shared" si="1"/>
        <v>Calefacción. (Piso Radiante, Radiadores y Split)   Colocación de Radiador (9 elementos.)</v>
      </c>
      <c r="I374" s="23">
        <f t="shared" si="3"/>
        <v>102338.45</v>
      </c>
    </row>
    <row r="375" ht="15.0" customHeight="1">
      <c r="A375" s="8">
        <v>406.0</v>
      </c>
      <c r="B375" s="9" t="s">
        <v>1894</v>
      </c>
      <c r="C375" s="10" t="s">
        <v>1906</v>
      </c>
      <c r="D375" s="10"/>
      <c r="E375" s="8" t="s">
        <v>5</v>
      </c>
      <c r="F375" s="11">
        <v>102338.45</v>
      </c>
      <c r="H375" s="22" t="str">
        <f t="shared" si="1"/>
        <v>Calefacción. (Piso Radiante, Radiadores y Split)   Colocación de Radiador-Toallero</v>
      </c>
      <c r="I375" s="23">
        <f t="shared" si="3"/>
        <v>102338.45</v>
      </c>
    </row>
    <row r="376" ht="15.0" customHeight="1">
      <c r="A376" s="4">
        <v>240.0</v>
      </c>
      <c r="B376" s="5" t="s">
        <v>1894</v>
      </c>
      <c r="C376" s="6" t="s">
        <v>1907</v>
      </c>
      <c r="D376" s="6" t="s">
        <v>1908</v>
      </c>
      <c r="E376" s="4" t="s">
        <v>5</v>
      </c>
      <c r="F376" s="7">
        <v>250983.5</v>
      </c>
      <c r="H376" s="22" t="str">
        <f t="shared" si="1"/>
        <v>Calefacción. (Piso Radiante, Radiadores y Split)   Colocación de split frió/calor 2350 frigorías</v>
      </c>
      <c r="I376" s="23">
        <f t="shared" si="3"/>
        <v>250983.5</v>
      </c>
    </row>
    <row r="377" ht="15.0" customHeight="1">
      <c r="A377" s="8">
        <v>241.0</v>
      </c>
      <c r="B377" s="9" t="s">
        <v>1894</v>
      </c>
      <c r="C377" s="10" t="s">
        <v>1909</v>
      </c>
      <c r="D377" s="10" t="s">
        <v>1910</v>
      </c>
      <c r="E377" s="8" t="s">
        <v>5</v>
      </c>
      <c r="F377" s="11">
        <v>301180.17</v>
      </c>
      <c r="H377" s="22" t="str">
        <f t="shared" si="1"/>
        <v>Calefacción. (Piso Radiante, Radiadores y Split)   Colocación de split frió/calor 4500 frigorías</v>
      </c>
      <c r="I377" s="23">
        <f t="shared" si="3"/>
        <v>301180.17</v>
      </c>
    </row>
    <row r="378" ht="15.0" customHeight="1">
      <c r="A378" s="4">
        <v>396.0</v>
      </c>
      <c r="B378" s="5" t="s">
        <v>1894</v>
      </c>
      <c r="C378" s="6" t="s">
        <v>1911</v>
      </c>
      <c r="D378" s="6" t="s">
        <v>1654</v>
      </c>
      <c r="E378" s="4" t="s">
        <v>5</v>
      </c>
      <c r="F378" s="7">
        <v>141909.33</v>
      </c>
      <c r="H378" s="22" t="str">
        <f t="shared" si="1"/>
        <v>Calefacción. (Piso Radiante, Radiadores y Split)   Desarrollo de Cañería Sistema Bi-Tubo por Par de Boca Sistema Pex (Radiadores)</v>
      </c>
      <c r="I378" s="23">
        <f t="shared" si="3"/>
        <v>141909.33</v>
      </c>
    </row>
    <row r="379" ht="15.0" customHeight="1">
      <c r="A379" s="8">
        <v>397.0</v>
      </c>
      <c r="B379" s="9" t="s">
        <v>1894</v>
      </c>
      <c r="C379" s="10" t="s">
        <v>1912</v>
      </c>
      <c r="D379" s="10" t="s">
        <v>1654</v>
      </c>
      <c r="E379" s="8" t="s">
        <v>5</v>
      </c>
      <c r="F379" s="11">
        <v>108797.15</v>
      </c>
      <c r="H379" s="22" t="str">
        <f t="shared" si="1"/>
        <v>Calefacción. (Piso Radiante, Radiadores y Split)   Desarrollo de Cañería Sistema Bi-Tubo por Par de Boca Sistema PPN Aluminio (Radiadores)</v>
      </c>
      <c r="I379" s="23">
        <f t="shared" si="3"/>
        <v>108797.15</v>
      </c>
    </row>
    <row r="380" ht="15.0" customHeight="1">
      <c r="A380" s="4">
        <v>398.0</v>
      </c>
      <c r="B380" s="5" t="s">
        <v>1894</v>
      </c>
      <c r="C380" s="6" t="s">
        <v>1913</v>
      </c>
      <c r="D380" s="6" t="s">
        <v>1654</v>
      </c>
      <c r="E380" s="4" t="s">
        <v>22</v>
      </c>
      <c r="F380" s="7">
        <v>36068.62</v>
      </c>
      <c r="H380" s="22" t="str">
        <f t="shared" si="1"/>
        <v>Calefacción. (Piso Radiante, Radiadores y Split)   Desarrollo por M2 Piso Radiante sobre Malla Sima</v>
      </c>
      <c r="I380" s="23">
        <f t="shared" si="3"/>
        <v>36068.62</v>
      </c>
    </row>
    <row r="381" ht="15.0" customHeight="1">
      <c r="A381" s="8">
        <v>399.0</v>
      </c>
      <c r="B381" s="9" t="s">
        <v>1894</v>
      </c>
      <c r="C381" s="10" t="s">
        <v>1914</v>
      </c>
      <c r="D381" s="10" t="s">
        <v>1654</v>
      </c>
      <c r="E381" s="8" t="s">
        <v>22</v>
      </c>
      <c r="F381" s="11">
        <v>42572.79</v>
      </c>
      <c r="H381" s="22" t="str">
        <f t="shared" si="1"/>
        <v>Calefacción. (Piso Radiante, Radiadores y Split)   Desarrollo por M2 Piso Radiante sobre Placas de EPS</v>
      </c>
      <c r="I381" s="23">
        <f t="shared" si="3"/>
        <v>42572.79</v>
      </c>
    </row>
    <row r="382" ht="15.0" customHeight="1">
      <c r="A382" s="4">
        <v>400.0</v>
      </c>
      <c r="B382" s="5" t="s">
        <v>1894</v>
      </c>
      <c r="C382" s="6" t="s">
        <v>1915</v>
      </c>
      <c r="D382" s="6"/>
      <c r="E382" s="4" t="s">
        <v>5</v>
      </c>
      <c r="F382" s="7">
        <v>141909.33</v>
      </c>
      <c r="H382" s="22" t="str">
        <f t="shared" si="1"/>
        <v>Calefacción. (Piso Radiante, Radiadores y Split)   Prueba Hidráulica hasta 20 bares</v>
      </c>
      <c r="I382" s="23">
        <f t="shared" si="3"/>
        <v>141909.33</v>
      </c>
    </row>
    <row r="383" ht="15.0" customHeight="1">
      <c r="A383" s="8">
        <v>407.0</v>
      </c>
      <c r="B383" s="9" t="s">
        <v>1894</v>
      </c>
      <c r="C383" s="10" t="s">
        <v>1916</v>
      </c>
      <c r="D383" s="10"/>
      <c r="E383" s="8" t="s">
        <v>515</v>
      </c>
      <c r="F383" s="11">
        <v>193305.96</v>
      </c>
      <c r="H383" s="22" t="str">
        <f t="shared" si="1"/>
        <v>Calefacción. (Piso Radiante, Radiadores y Split)   Puesta en Funcionamiento de Sistema de Calefacción (Purga y Arranque de Caldera hasta 10 Radiadores)</v>
      </c>
      <c r="I383" s="23">
        <f t="shared" si="3"/>
        <v>193305.96</v>
      </c>
    </row>
    <row r="384" ht="15.0" customHeight="1">
      <c r="A384" s="4">
        <v>408.0</v>
      </c>
      <c r="B384" s="5" t="s">
        <v>1894</v>
      </c>
      <c r="C384" s="6" t="s">
        <v>1917</v>
      </c>
      <c r="D384" s="6"/>
      <c r="E384" s="4" t="s">
        <v>515</v>
      </c>
      <c r="F384" s="7">
        <v>193305.96</v>
      </c>
      <c r="H384" s="22" t="str">
        <f t="shared" si="1"/>
        <v>Calefacción. (Piso Radiante, Radiadores y Split)   Puesta en Funcionamiento de Sistema de Calefacción (Purga y Arranque de Caldera para Piso Radiante hasta 80m2)</v>
      </c>
      <c r="I384" s="23">
        <f t="shared" si="3"/>
        <v>193305.96</v>
      </c>
    </row>
    <row r="385" ht="15.0" customHeight="1">
      <c r="A385" s="8">
        <v>182.0</v>
      </c>
      <c r="B385" s="9" t="s">
        <v>1918</v>
      </c>
      <c r="C385" s="10" t="s">
        <v>1919</v>
      </c>
      <c r="D385" s="10"/>
      <c r="E385" s="8" t="s">
        <v>76</v>
      </c>
      <c r="F385" s="11">
        <v>41412.3</v>
      </c>
      <c r="H385" s="22" t="str">
        <f t="shared" si="1"/>
        <v>Herrería, Cercos y Rejas Cerco de alambre romboidal con poste de madera. Altura 1,50 mts.</v>
      </c>
      <c r="I385" s="23">
        <f t="shared" si="3"/>
        <v>41412.3</v>
      </c>
    </row>
    <row r="386" ht="15.0" customHeight="1">
      <c r="A386" s="4">
        <v>245.0</v>
      </c>
      <c r="B386" s="5" t="s">
        <v>1918</v>
      </c>
      <c r="C386" s="6" t="s">
        <v>1920</v>
      </c>
      <c r="D386" s="6"/>
      <c r="E386" s="4" t="s">
        <v>76</v>
      </c>
      <c r="F386" s="7">
        <v>50196.68</v>
      </c>
      <c r="H386" s="22" t="str">
        <f t="shared" si="1"/>
        <v>Herrería, Cercos y Rejas Cerco Olímpico de Alambre Romboidal con poste de cemento y 3 hilos de alambre de pua</v>
      </c>
      <c r="I386" s="23">
        <f t="shared" si="3"/>
        <v>50196.68</v>
      </c>
    </row>
    <row r="387" ht="15.0" customHeight="1">
      <c r="A387" s="8">
        <v>247.0</v>
      </c>
      <c r="B387" s="9" t="s">
        <v>1918</v>
      </c>
      <c r="C387" s="10" t="s">
        <v>1921</v>
      </c>
      <c r="D387" s="10"/>
      <c r="E387" s="8" t="s">
        <v>5</v>
      </c>
      <c r="F387" s="11">
        <v>125491.76</v>
      </c>
      <c r="H387" s="22" t="str">
        <f t="shared" si="1"/>
        <v>Herrería, Cercos y Rejas Portón Doble Hoja de Caño Estructural y Alambre tejido. 3,00 x 1,80 mts.</v>
      </c>
      <c r="I387" s="23">
        <f t="shared" si="3"/>
        <v>125491.76</v>
      </c>
    </row>
    <row r="388" ht="15.0" customHeight="1">
      <c r="A388" s="4">
        <v>246.0</v>
      </c>
      <c r="B388" s="5" t="s">
        <v>1918</v>
      </c>
      <c r="C388" s="6" t="s">
        <v>1922</v>
      </c>
      <c r="D388" s="6"/>
      <c r="E388" s="4" t="s">
        <v>5</v>
      </c>
      <c r="F388" s="7">
        <v>95373.73</v>
      </c>
      <c r="H388" s="22" t="str">
        <f t="shared" si="1"/>
        <v>Herrería, Cercos y Rejas Puerta de Caño Estructural y Alambre tejido. 0,90 x 1,80 mts.</v>
      </c>
      <c r="I388" s="23">
        <f t="shared" si="3"/>
        <v>95373.73</v>
      </c>
    </row>
    <row r="389" ht="15.0" customHeight="1">
      <c r="A389" s="8">
        <v>249.0</v>
      </c>
      <c r="B389" s="9" t="s">
        <v>1918</v>
      </c>
      <c r="C389" s="10" t="s">
        <v>1923</v>
      </c>
      <c r="D389" s="10" t="s">
        <v>1924</v>
      </c>
      <c r="E389" s="8" t="s">
        <v>5</v>
      </c>
      <c r="F389" s="11">
        <v>163139.31</v>
      </c>
      <c r="H389" s="22" t="str">
        <f t="shared" si="1"/>
        <v>Herrería, Cercos y Rejas Puerta Tranquera de Madera Doble Hoja. 3,00 x 1,00 mts</v>
      </c>
      <c r="I389" s="23">
        <f t="shared" si="3"/>
        <v>163139.31</v>
      </c>
    </row>
    <row r="390" ht="15.0" customHeight="1">
      <c r="A390" s="4">
        <v>248.0</v>
      </c>
      <c r="B390" s="5" t="s">
        <v>1918</v>
      </c>
      <c r="C390" s="6" t="s">
        <v>1925</v>
      </c>
      <c r="D390" s="6" t="s">
        <v>1926</v>
      </c>
      <c r="E390" s="4" t="s">
        <v>5</v>
      </c>
      <c r="F390" s="7">
        <v>100393.42</v>
      </c>
      <c r="H390" s="22" t="str">
        <f t="shared" si="1"/>
        <v>Herrería, Cercos y Rejas Puerta Tranquera de Madera. 1,00 x 1,00 mts</v>
      </c>
      <c r="I390" s="23">
        <f t="shared" si="3"/>
        <v>100393.42</v>
      </c>
    </row>
    <row r="391" ht="15.0" customHeight="1">
      <c r="A391" s="8">
        <v>255.0</v>
      </c>
      <c r="B391" s="9" t="s">
        <v>461</v>
      </c>
      <c r="C391" s="10" t="s">
        <v>1927</v>
      </c>
      <c r="D391" s="10" t="s">
        <v>1928</v>
      </c>
      <c r="E391" s="8" t="s">
        <v>5</v>
      </c>
      <c r="F391" s="11">
        <v>295274.68</v>
      </c>
      <c r="H391" s="22" t="str">
        <f t="shared" si="1"/>
        <v>Energías Renovables Inst. Kit Solar Completo con Panel 1x160 Energia Usb K4</v>
      </c>
      <c r="I391" s="23">
        <f t="shared" si="3"/>
        <v>295274.68</v>
      </c>
    </row>
    <row r="392" ht="15.0" customHeight="1">
      <c r="A392" s="4">
        <v>256.0</v>
      </c>
      <c r="B392" s="5" t="s">
        <v>461</v>
      </c>
      <c r="C392" s="6" t="s">
        <v>1929</v>
      </c>
      <c r="D392" s="6" t="s">
        <v>1930</v>
      </c>
      <c r="E392" s="4" t="s">
        <v>5</v>
      </c>
      <c r="F392" s="7">
        <v>369093.39</v>
      </c>
      <c r="H392" s="22" t="str">
        <f t="shared" si="1"/>
        <v>Energías Renovables Inst. Kit Solar Completo con Panel 2x270 Energía Casas 1s</v>
      </c>
      <c r="I392" s="23">
        <f t="shared" si="3"/>
        <v>369093.39</v>
      </c>
    </row>
    <row r="393" ht="15.0" customHeight="1">
      <c r="A393" s="8">
        <v>257.0</v>
      </c>
      <c r="B393" s="9" t="s">
        <v>461</v>
      </c>
      <c r="C393" s="10" t="s">
        <v>1931</v>
      </c>
      <c r="D393" s="10" t="s">
        <v>1932</v>
      </c>
      <c r="E393" s="8" t="s">
        <v>5</v>
      </c>
      <c r="F393" s="11">
        <v>442912.05</v>
      </c>
      <c r="H393" s="22" t="str">
        <f t="shared" si="1"/>
        <v>Energías Renovables Inst. Kit Solar Completo con Panel 2x270 Energía Casas 3s</v>
      </c>
      <c r="I393" s="23">
        <f t="shared" si="3"/>
        <v>442912.05</v>
      </c>
    </row>
    <row r="394" ht="15.0" customHeight="1">
      <c r="A394" s="4">
        <v>252.0</v>
      </c>
      <c r="B394" s="5" t="s">
        <v>461</v>
      </c>
      <c r="C394" s="6" t="s">
        <v>1933</v>
      </c>
      <c r="D394" s="6" t="s">
        <v>1934</v>
      </c>
      <c r="E394" s="4" t="s">
        <v>5</v>
      </c>
      <c r="F394" s="7">
        <v>369093.39</v>
      </c>
      <c r="H394" s="22" t="str">
        <f t="shared" si="1"/>
        <v>Energías Renovables Inst. Termotanque Ac. Inox. solar 150 lts. + Kit Eléct. + Barra Mg.</v>
      </c>
      <c r="I394" s="23">
        <f t="shared" si="3"/>
        <v>369093.39</v>
      </c>
    </row>
    <row r="395" ht="15.0" customHeight="1">
      <c r="A395" s="8">
        <v>253.0</v>
      </c>
      <c r="B395" s="9" t="s">
        <v>461</v>
      </c>
      <c r="C395" s="10" t="s">
        <v>1935</v>
      </c>
      <c r="D395" s="10" t="s">
        <v>1936</v>
      </c>
      <c r="E395" s="8" t="s">
        <v>5</v>
      </c>
      <c r="F395" s="11">
        <v>369093.39</v>
      </c>
      <c r="H395" s="22" t="str">
        <f t="shared" si="1"/>
        <v>Energías Renovables Inst. Termotanque Ac. Inox. solar 200 lts. + Kit Eléct. + Barra Mg.</v>
      </c>
      <c r="I395" s="23">
        <f t="shared" si="3"/>
        <v>369093.39</v>
      </c>
    </row>
    <row r="396" ht="15.0" customHeight="1">
      <c r="A396" s="4">
        <v>254.0</v>
      </c>
      <c r="B396" s="5" t="s">
        <v>461</v>
      </c>
      <c r="C396" s="6" t="s">
        <v>1937</v>
      </c>
      <c r="D396" s="6" t="s">
        <v>1938</v>
      </c>
      <c r="E396" s="4" t="s">
        <v>5</v>
      </c>
      <c r="F396" s="7">
        <v>369093.39</v>
      </c>
      <c r="H396" s="22" t="str">
        <f t="shared" si="1"/>
        <v>Energías Renovables Inst. Termotanque Ac. Inox. solar 300 lts. + Kit Eléct. + Barra Mg.</v>
      </c>
      <c r="I396" s="23">
        <f t="shared" si="3"/>
        <v>369093.39</v>
      </c>
    </row>
    <row r="397" ht="15.0" customHeight="1">
      <c r="A397" s="8">
        <v>409.0</v>
      </c>
      <c r="B397" s="9" t="s">
        <v>1939</v>
      </c>
      <c r="C397" s="10" t="s">
        <v>1940</v>
      </c>
      <c r="D397" s="10"/>
      <c r="E397" s="8" t="s">
        <v>5</v>
      </c>
      <c r="F397" s="11">
        <v>567710.87</v>
      </c>
      <c r="H397" s="22" t="str">
        <f t="shared" si="1"/>
        <v>Parrillas, Fogones y Piscinas Colocación de Climatizador de Piscina</v>
      </c>
      <c r="I397" s="23">
        <f t="shared" si="3"/>
        <v>567710.87</v>
      </c>
    </row>
    <row r="398" ht="15.0" customHeight="1">
      <c r="A398" s="4">
        <v>271.0</v>
      </c>
      <c r="B398" s="5" t="s">
        <v>1939</v>
      </c>
      <c r="C398" s="6" t="s">
        <v>1941</v>
      </c>
      <c r="D398" s="6" t="s">
        <v>1942</v>
      </c>
      <c r="E398" s="4" t="s">
        <v>5</v>
      </c>
      <c r="F398" s="7">
        <v>439221.1</v>
      </c>
      <c r="H398" s="22" t="str">
        <f t="shared" si="1"/>
        <v>Parrillas, Fogones y Piscinas Fogón (sin tiraje) Medidas: 0.80 x 1,50mts. </v>
      </c>
      <c r="I398" s="23">
        <f t="shared" si="3"/>
        <v>439221.1</v>
      </c>
    </row>
    <row r="399" ht="15.0" customHeight="1">
      <c r="A399" s="8">
        <v>270.0</v>
      </c>
      <c r="B399" s="9" t="s">
        <v>1939</v>
      </c>
      <c r="C399" s="10" t="s">
        <v>1943</v>
      </c>
      <c r="D399" s="10" t="s">
        <v>1944</v>
      </c>
      <c r="E399" s="8" t="s">
        <v>5</v>
      </c>
      <c r="F399" s="11">
        <v>826769.11</v>
      </c>
      <c r="H399" s="22" t="str">
        <f t="shared" si="1"/>
        <v>Parrillas, Fogones y Piscinas Parrilla de Material Tradicional con Pulmón. Medidas: 1,00 x 1,50mts</v>
      </c>
      <c r="I399" s="23">
        <f t="shared" si="3"/>
        <v>826769.11</v>
      </c>
    </row>
    <row r="400" ht="15.0" customHeight="1">
      <c r="A400" s="4">
        <v>275.0</v>
      </c>
      <c r="B400" s="5" t="s">
        <v>1939</v>
      </c>
      <c r="C400" s="6" t="s">
        <v>1945</v>
      </c>
      <c r="D400" s="6" t="s">
        <v>1946</v>
      </c>
      <c r="E400" s="4" t="s">
        <v>5</v>
      </c>
      <c r="F400" s="7">
        <v>100762.44</v>
      </c>
      <c r="H400" s="22" t="str">
        <f t="shared" si="1"/>
        <v>Parrillas, Fogones y Piscinas Parrilla Premoldeada 1,45 mts</v>
      </c>
      <c r="I400" s="23">
        <f t="shared" si="3"/>
        <v>100762.44</v>
      </c>
    </row>
    <row r="401" ht="15.0" customHeight="1">
      <c r="A401" s="8">
        <v>274.0</v>
      </c>
      <c r="B401" s="9" t="s">
        <v>1939</v>
      </c>
      <c r="C401" s="10" t="s">
        <v>1947</v>
      </c>
      <c r="D401" s="10" t="s">
        <v>1948</v>
      </c>
      <c r="E401" s="8" t="s">
        <v>5</v>
      </c>
      <c r="F401" s="11">
        <v>7234229.84</v>
      </c>
      <c r="H401" s="22" t="str">
        <f t="shared" si="1"/>
        <v>Parrillas, Fogones y Piscinas Piscina de 3,00 x 6,00 mts. (Piso de Hormigón y paredes de ladrillo común de 30cm.)</v>
      </c>
      <c r="I401" s="23">
        <f t="shared" si="3"/>
        <v>7234229.84</v>
      </c>
    </row>
    <row r="402" ht="15.0" customHeight="1">
      <c r="A402" s="4">
        <v>155.0</v>
      </c>
      <c r="B402" s="5" t="s">
        <v>1949</v>
      </c>
      <c r="C402" s="6" t="s">
        <v>1950</v>
      </c>
      <c r="D402" s="6"/>
      <c r="E402" s="4" t="s">
        <v>22</v>
      </c>
      <c r="F402" s="7">
        <v>22994.5</v>
      </c>
      <c r="H402" s="22" t="str">
        <f t="shared" si="1"/>
        <v>Limpieza y Ayuda de Gremios Ayuda de gremios</v>
      </c>
      <c r="I402" s="23">
        <f t="shared" si="3"/>
        <v>22994.5</v>
      </c>
    </row>
    <row r="403" ht="15.0" customHeight="1">
      <c r="A403" s="8">
        <v>154.0</v>
      </c>
      <c r="B403" s="9" t="s">
        <v>1949</v>
      </c>
      <c r="C403" s="10" t="s">
        <v>1951</v>
      </c>
      <c r="D403" s="10"/>
      <c r="E403" s="8" t="s">
        <v>22</v>
      </c>
      <c r="F403" s="11">
        <v>3746.3</v>
      </c>
      <c r="H403" s="22" t="str">
        <f t="shared" si="1"/>
        <v>Limpieza y Ayuda de Gremios Limpieza final</v>
      </c>
      <c r="I403" s="23">
        <f t="shared" si="3"/>
        <v>3746.3</v>
      </c>
    </row>
    <row r="404" ht="15.0" customHeight="1">
      <c r="A404" s="4">
        <v>153.0</v>
      </c>
      <c r="B404" s="5" t="s">
        <v>1949</v>
      </c>
      <c r="C404" s="6" t="s">
        <v>1952</v>
      </c>
      <c r="D404" s="6" t="s">
        <v>1953</v>
      </c>
      <c r="E404" s="4" t="s">
        <v>5</v>
      </c>
      <c r="F404" s="7">
        <v>873274.9</v>
      </c>
      <c r="H404" s="22" t="str">
        <f t="shared" si="1"/>
        <v>Limpieza y Ayuda de Gremios Limpieza periódica</v>
      </c>
      <c r="I404" s="23">
        <f t="shared" si="3"/>
        <v>873274.9</v>
      </c>
    </row>
    <row r="405" ht="15.0" customHeight="1">
      <c r="A405" s="8">
        <v>344.0</v>
      </c>
      <c r="B405" s="9" t="s">
        <v>1954</v>
      </c>
      <c r="C405" s="10" t="s">
        <v>1955</v>
      </c>
      <c r="D405" s="10" t="s">
        <v>1654</v>
      </c>
      <c r="E405" s="8" t="s">
        <v>5</v>
      </c>
      <c r="F405" s="11">
        <v>54375.06</v>
      </c>
      <c r="H405" s="22" t="str">
        <f t="shared" si="1"/>
        <v>Tramites, Mantenimiento y/o Refacciones de Gas Cambio de Diafragma de calentador de agua</v>
      </c>
      <c r="I405" s="23">
        <f t="shared" si="3"/>
        <v>54375.06</v>
      </c>
    </row>
    <row r="406" ht="15.0" customHeight="1">
      <c r="A406" s="4">
        <v>342.0</v>
      </c>
      <c r="B406" s="5" t="s">
        <v>1954</v>
      </c>
      <c r="C406" s="6" t="s">
        <v>1956</v>
      </c>
      <c r="D406" s="6" t="s">
        <v>1654</v>
      </c>
      <c r="E406" s="4" t="s">
        <v>5</v>
      </c>
      <c r="F406" s="7">
        <v>54375.06</v>
      </c>
      <c r="H406" s="22" t="str">
        <f t="shared" si="1"/>
        <v>Tramites, Mantenimiento y/o Refacciones de Gas Cambio de Termocupla de calefactor sin salida</v>
      </c>
      <c r="I406" s="23">
        <f t="shared" si="3"/>
        <v>54375.06</v>
      </c>
    </row>
    <row r="407" ht="15.0" customHeight="1">
      <c r="A407" s="8">
        <v>343.0</v>
      </c>
      <c r="B407" s="9" t="s">
        <v>1954</v>
      </c>
      <c r="C407" s="10" t="s">
        <v>1957</v>
      </c>
      <c r="D407" s="10" t="s">
        <v>1654</v>
      </c>
      <c r="E407" s="8" t="s">
        <v>5</v>
      </c>
      <c r="F407" s="11">
        <v>72330.27</v>
      </c>
      <c r="H407" s="22" t="str">
        <f t="shared" si="1"/>
        <v>Tramites, Mantenimiento y/o Refacciones de Gas Cambio de Termocupla de calefactor TB</v>
      </c>
      <c r="I407" s="23">
        <f t="shared" si="3"/>
        <v>72330.27</v>
      </c>
    </row>
    <row r="408" ht="15.0" customHeight="1">
      <c r="A408" s="4">
        <v>340.0</v>
      </c>
      <c r="B408" s="5" t="s">
        <v>1954</v>
      </c>
      <c r="C408" s="6" t="s">
        <v>1958</v>
      </c>
      <c r="D408" s="6" t="s">
        <v>1654</v>
      </c>
      <c r="E408" s="4" t="s">
        <v>5</v>
      </c>
      <c r="F408" s="7">
        <v>54375.06</v>
      </c>
      <c r="H408" s="22" t="str">
        <f t="shared" si="1"/>
        <v>Tramites, Mantenimiento y/o Refacciones de Gas Cambio de Termocupla de calentador de agua</v>
      </c>
      <c r="I408" s="23">
        <f t="shared" si="3"/>
        <v>54375.06</v>
      </c>
    </row>
    <row r="409" ht="15.0" customHeight="1">
      <c r="A409" s="8">
        <v>341.0</v>
      </c>
      <c r="B409" s="9" t="s">
        <v>1954</v>
      </c>
      <c r="C409" s="10" t="s">
        <v>1959</v>
      </c>
      <c r="D409" s="10" t="s">
        <v>1654</v>
      </c>
      <c r="E409" s="8" t="s">
        <v>5</v>
      </c>
      <c r="F409" s="11">
        <v>54375.06</v>
      </c>
      <c r="H409" s="22" t="str">
        <f t="shared" si="1"/>
        <v>Tramites, Mantenimiento y/o Refacciones de Gas Cambio de Termocupla de cocina</v>
      </c>
      <c r="I409" s="23">
        <f t="shared" si="3"/>
        <v>54375.06</v>
      </c>
    </row>
    <row r="410" ht="15.0" customHeight="1">
      <c r="A410" s="4">
        <v>345.0</v>
      </c>
      <c r="B410" s="5" t="s">
        <v>1954</v>
      </c>
      <c r="C410" s="6" t="s">
        <v>1960</v>
      </c>
      <c r="D410" s="6" t="s">
        <v>1654</v>
      </c>
      <c r="E410" s="4" t="s">
        <v>5</v>
      </c>
      <c r="F410" s="7">
        <v>54375.06</v>
      </c>
      <c r="H410" s="22" t="str">
        <f t="shared" si="1"/>
        <v>Tramites, Mantenimiento y/o Refacciones de Gas Conversión de Artefacto de GLP a GN</v>
      </c>
      <c r="I410" s="23">
        <f t="shared" si="3"/>
        <v>54375.06</v>
      </c>
    </row>
    <row r="411" ht="15.0" customHeight="1">
      <c r="A411" s="8">
        <v>350.0</v>
      </c>
      <c r="B411" s="9" t="s">
        <v>1954</v>
      </c>
      <c r="C411" s="10" t="s">
        <v>1961</v>
      </c>
      <c r="D411" s="10"/>
      <c r="E411" s="8" t="s">
        <v>5</v>
      </c>
      <c r="F411" s="11">
        <v>108750.09</v>
      </c>
      <c r="H411" s="22" t="str">
        <f t="shared" si="1"/>
        <v>Tramites, Mantenimiento y/o Refacciones de Gas Detección de fuga de gas</v>
      </c>
      <c r="I411" s="23">
        <f t="shared" si="3"/>
        <v>108750.09</v>
      </c>
    </row>
    <row r="412" ht="15.0" customHeight="1">
      <c r="A412" s="4">
        <v>357.0</v>
      </c>
      <c r="B412" s="5" t="s">
        <v>1954</v>
      </c>
      <c r="C412" s="6" t="s">
        <v>1962</v>
      </c>
      <c r="D412" s="6"/>
      <c r="E412" s="4" t="s">
        <v>5</v>
      </c>
      <c r="F412" s="7">
        <v>127342.04</v>
      </c>
      <c r="H412" s="22" t="str">
        <f t="shared" si="1"/>
        <v>Tramites, Mantenimiento y/o Refacciones de Gas Informe de Conformidad de Inmobiliarias</v>
      </c>
      <c r="I412" s="23">
        <f t="shared" si="3"/>
        <v>127342.04</v>
      </c>
    </row>
    <row r="413" ht="15.0" customHeight="1">
      <c r="A413" s="8">
        <v>335.0</v>
      </c>
      <c r="B413" s="9" t="s">
        <v>1954</v>
      </c>
      <c r="C413" s="10" t="s">
        <v>1963</v>
      </c>
      <c r="D413" s="10"/>
      <c r="E413" s="8" t="s">
        <v>5</v>
      </c>
      <c r="F413" s="11">
        <v>54375.06</v>
      </c>
      <c r="H413" s="22" t="str">
        <f t="shared" si="1"/>
        <v>Tramites, Mantenimiento y/o Refacciones de Gas Limpieza Calefactor sin salida</v>
      </c>
      <c r="I413" s="23">
        <f t="shared" si="3"/>
        <v>54375.06</v>
      </c>
    </row>
    <row r="414" ht="15.0" customHeight="1">
      <c r="A414" s="4">
        <v>336.0</v>
      </c>
      <c r="B414" s="5" t="s">
        <v>1954</v>
      </c>
      <c r="C414" s="6" t="s">
        <v>1964</v>
      </c>
      <c r="D414" s="6"/>
      <c r="E414" s="4" t="s">
        <v>5</v>
      </c>
      <c r="F414" s="7">
        <v>72457.63</v>
      </c>
      <c r="H414" s="22" t="str">
        <f t="shared" si="1"/>
        <v>Tramites, Mantenimiento y/o Refacciones de Gas Limpieza Calefactor TBH</v>
      </c>
      <c r="I414" s="23">
        <f t="shared" si="3"/>
        <v>72457.63</v>
      </c>
    </row>
    <row r="415" ht="15.0" customHeight="1">
      <c r="A415" s="8">
        <v>337.0</v>
      </c>
      <c r="B415" s="9" t="s">
        <v>1954</v>
      </c>
      <c r="C415" s="10" t="s">
        <v>1965</v>
      </c>
      <c r="D415" s="10"/>
      <c r="E415" s="8" t="s">
        <v>5</v>
      </c>
      <c r="F415" s="11">
        <v>90412.84</v>
      </c>
      <c r="H415" s="22" t="str">
        <f t="shared" si="1"/>
        <v>Tramites, Mantenimiento y/o Refacciones de Gas Limpieza Calefactor TBU</v>
      </c>
      <c r="I415" s="23">
        <f t="shared" si="3"/>
        <v>90412.84</v>
      </c>
    </row>
    <row r="416" ht="15.0" customHeight="1">
      <c r="A416" s="4">
        <v>338.0</v>
      </c>
      <c r="B416" s="5" t="s">
        <v>1954</v>
      </c>
      <c r="C416" s="6" t="s">
        <v>1966</v>
      </c>
      <c r="D416" s="6"/>
      <c r="E416" s="4" t="s">
        <v>5</v>
      </c>
      <c r="F416" s="7">
        <v>108750.09</v>
      </c>
      <c r="H416" s="22" t="str">
        <f t="shared" si="1"/>
        <v>Tramites, Mantenimiento y/o Refacciones de Gas Limpieza Calefon</v>
      </c>
      <c r="I416" s="23">
        <f t="shared" si="3"/>
        <v>108750.09</v>
      </c>
    </row>
    <row r="417" ht="15.0" customHeight="1">
      <c r="A417" s="8">
        <v>339.0</v>
      </c>
      <c r="B417" s="9" t="s">
        <v>1954</v>
      </c>
      <c r="C417" s="10" t="s">
        <v>1967</v>
      </c>
      <c r="D417" s="10"/>
      <c r="E417" s="8" t="s">
        <v>5</v>
      </c>
      <c r="F417" s="11">
        <v>72330.27</v>
      </c>
      <c r="H417" s="22" t="str">
        <f t="shared" si="1"/>
        <v>Tramites, Mantenimiento y/o Refacciones de Gas Limpieza Termotanque</v>
      </c>
      <c r="I417" s="23">
        <f t="shared" si="3"/>
        <v>72330.27</v>
      </c>
    </row>
    <row r="418" ht="15.0" customHeight="1">
      <c r="A418" s="4">
        <v>356.0</v>
      </c>
      <c r="B418" s="5" t="s">
        <v>1954</v>
      </c>
      <c r="C418" s="6" t="s">
        <v>1968</v>
      </c>
      <c r="D418" s="6"/>
      <c r="E418" s="4" t="s">
        <v>5</v>
      </c>
      <c r="F418" s="7">
        <v>109514.16</v>
      </c>
      <c r="H418" s="22" t="str">
        <f t="shared" si="1"/>
        <v>Tramites, Mantenimiento y/o Refacciones de Gas Plano completo en Autocad</v>
      </c>
      <c r="I418" s="23">
        <f t="shared" si="3"/>
        <v>109514.16</v>
      </c>
    </row>
    <row r="419" ht="15.0" customHeight="1">
      <c r="A419" s="8">
        <v>348.0</v>
      </c>
      <c r="B419" s="9" t="s">
        <v>1954</v>
      </c>
      <c r="C419" s="10" t="s">
        <v>1969</v>
      </c>
      <c r="D419" s="10"/>
      <c r="E419" s="8" t="s">
        <v>5</v>
      </c>
      <c r="F419" s="11">
        <v>108750.09</v>
      </c>
      <c r="H419" s="22" t="str">
        <f t="shared" si="1"/>
        <v>Tramites, Mantenimiento y/o Refacciones de Gas Prueba Manométrica hasta 3 artefactos</v>
      </c>
      <c r="I419" s="23">
        <f t="shared" si="3"/>
        <v>108750.09</v>
      </c>
    </row>
    <row r="420" ht="15.0" customHeight="1">
      <c r="A420" s="4">
        <v>349.0</v>
      </c>
      <c r="B420" s="5" t="s">
        <v>1954</v>
      </c>
      <c r="C420" s="6" t="s">
        <v>1970</v>
      </c>
      <c r="D420" s="6"/>
      <c r="E420" s="4" t="s">
        <v>5</v>
      </c>
      <c r="F420" s="7">
        <v>162997.82</v>
      </c>
      <c r="H420" s="22" t="str">
        <f t="shared" si="1"/>
        <v>Tramites, Mantenimiento y/o Refacciones de Gas Prueba Manométrica hasta 6 artefactos</v>
      </c>
      <c r="I420" s="23">
        <f t="shared" si="3"/>
        <v>162997.82</v>
      </c>
    </row>
    <row r="421" ht="15.0" customHeight="1">
      <c r="A421" s="8">
        <v>352.0</v>
      </c>
      <c r="B421" s="9" t="s">
        <v>1954</v>
      </c>
      <c r="C421" s="10" t="s">
        <v>1971</v>
      </c>
      <c r="D421" s="10"/>
      <c r="E421" s="8" t="s">
        <v>5</v>
      </c>
      <c r="F421" s="11">
        <v>651991.24</v>
      </c>
      <c r="H421" s="22" t="str">
        <f t="shared" si="1"/>
        <v>Tramites, Mantenimiento y/o Refacciones de Gas Tramites completos de Inst. de gas (planos, fact, parcial, final) 10 bocas.</v>
      </c>
      <c r="I421" s="23">
        <f t="shared" si="3"/>
        <v>651991.24</v>
      </c>
    </row>
    <row r="422" ht="15.0" customHeight="1">
      <c r="A422" s="4">
        <v>351.0</v>
      </c>
      <c r="B422" s="5" t="s">
        <v>1954</v>
      </c>
      <c r="C422" s="6" t="s">
        <v>1972</v>
      </c>
      <c r="D422" s="6"/>
      <c r="E422" s="4" t="s">
        <v>5</v>
      </c>
      <c r="F422" s="7">
        <v>471420.23</v>
      </c>
      <c r="H422" s="22" t="str">
        <f t="shared" si="1"/>
        <v>Tramites, Mantenimiento y/o Refacciones de Gas Tramites completos de Inst. de gas (planos, fact, parcial, final) 3 bocas.</v>
      </c>
      <c r="I422" s="23">
        <f t="shared" si="3"/>
        <v>471420.23</v>
      </c>
    </row>
    <row r="423" ht="15.0" customHeight="1">
      <c r="A423" s="8">
        <v>353.0</v>
      </c>
      <c r="B423" s="9" t="s">
        <v>1954</v>
      </c>
      <c r="C423" s="10" t="s">
        <v>1973</v>
      </c>
      <c r="D423" s="10"/>
      <c r="E423" s="8" t="s">
        <v>5</v>
      </c>
      <c r="F423" s="11">
        <v>145042.58</v>
      </c>
      <c r="H423" s="22" t="str">
        <f t="shared" si="1"/>
        <v>Tramites, Mantenimiento y/o Refacciones de Gas Tramites Factibilidad</v>
      </c>
      <c r="I423" s="23">
        <f t="shared" si="3"/>
        <v>145042.58</v>
      </c>
    </row>
    <row r="424" ht="15.0" customHeight="1">
      <c r="A424" s="4">
        <v>355.0</v>
      </c>
      <c r="B424" s="5" t="s">
        <v>1954</v>
      </c>
      <c r="C424" s="6" t="s">
        <v>1974</v>
      </c>
      <c r="D424" s="6"/>
      <c r="E424" s="4" t="s">
        <v>5</v>
      </c>
      <c r="F424" s="7">
        <v>180825.7</v>
      </c>
      <c r="H424" s="22" t="str">
        <f t="shared" si="1"/>
        <v>Tramites, Mantenimiento y/o Refacciones de Gas Tramites para Inspección final</v>
      </c>
      <c r="I424" s="23">
        <f t="shared" si="3"/>
        <v>180825.7</v>
      </c>
    </row>
    <row r="425" ht="15.0" customHeight="1">
      <c r="A425" s="8">
        <v>354.0</v>
      </c>
      <c r="B425" s="9" t="s">
        <v>1954</v>
      </c>
      <c r="C425" s="10" t="s">
        <v>1975</v>
      </c>
      <c r="D425" s="10"/>
      <c r="E425" s="8" t="s">
        <v>5</v>
      </c>
      <c r="F425" s="11">
        <v>180825.7</v>
      </c>
      <c r="H425" s="22" t="str">
        <f t="shared" si="1"/>
        <v>Tramites, Mantenimiento y/o Refacciones de Gas Tramites para Inspección parcial</v>
      </c>
      <c r="I425" s="23">
        <f t="shared" si="3"/>
        <v>180825.7</v>
      </c>
    </row>
    <row r="426" ht="15.0" customHeight="1">
      <c r="A426" s="4">
        <v>390.0</v>
      </c>
      <c r="B426" s="5" t="s">
        <v>1976</v>
      </c>
      <c r="C426" s="6" t="s">
        <v>1977</v>
      </c>
      <c r="D426" s="6" t="s">
        <v>1654</v>
      </c>
      <c r="E426" s="4" t="s">
        <v>5</v>
      </c>
      <c r="F426" s="7">
        <v>72015.5</v>
      </c>
      <c r="H426" s="22" t="str">
        <f t="shared" si="1"/>
        <v>Mantenimiento y/o Refacciones en Instalaciones Sanitarias Anulación de Deposito de Embutir por Mochila de Inodoro</v>
      </c>
      <c r="I426" s="23">
        <f t="shared" si="3"/>
        <v>72015.5</v>
      </c>
    </row>
    <row r="427" ht="15.0" customHeight="1">
      <c r="A427" s="8">
        <v>387.0</v>
      </c>
      <c r="B427" s="9" t="s">
        <v>1976</v>
      </c>
      <c r="C427" s="10" t="s">
        <v>1978</v>
      </c>
      <c r="D427" s="10" t="s">
        <v>1654</v>
      </c>
      <c r="E427" s="8" t="s">
        <v>5</v>
      </c>
      <c r="F427" s="11">
        <v>70259.02</v>
      </c>
      <c r="H427" s="22" t="str">
        <f t="shared" si="1"/>
        <v>Mantenimiento y/o Refacciones en Instalaciones Sanitarias Cambio de Ánodo de Termotanque</v>
      </c>
      <c r="I427" s="23">
        <f t="shared" si="3"/>
        <v>70259.02</v>
      </c>
    </row>
    <row r="428" ht="15.0" customHeight="1">
      <c r="A428" s="4">
        <v>391.0</v>
      </c>
      <c r="B428" s="5" t="s">
        <v>1976</v>
      </c>
      <c r="C428" s="6" t="s">
        <v>1979</v>
      </c>
      <c r="D428" s="6" t="s">
        <v>1654</v>
      </c>
      <c r="E428" s="4" t="s">
        <v>5</v>
      </c>
      <c r="F428" s="7">
        <v>128808.21</v>
      </c>
      <c r="H428" s="22" t="str">
        <f t="shared" si="1"/>
        <v>Mantenimiento y/o Refacciones en Instalaciones Sanitarias cambio de Cuadro de Ducha (Sin Albañilería)</v>
      </c>
      <c r="I428" s="23">
        <f t="shared" si="3"/>
        <v>128808.21</v>
      </c>
    </row>
    <row r="429" ht="15.0" customHeight="1">
      <c r="A429" s="8">
        <v>389.0</v>
      </c>
      <c r="B429" s="9" t="s">
        <v>1976</v>
      </c>
      <c r="C429" s="10" t="s">
        <v>1980</v>
      </c>
      <c r="D429" s="10"/>
      <c r="E429" s="8" t="s">
        <v>5</v>
      </c>
      <c r="F429" s="11">
        <v>17564.76</v>
      </c>
      <c r="H429" s="22" t="str">
        <f t="shared" si="1"/>
        <v>Mantenimiento y/o Refacciones en Instalaciones Sanitarias Cambio de Cuerito de Grifería</v>
      </c>
      <c r="I429" s="23">
        <f t="shared" si="3"/>
        <v>17564.76</v>
      </c>
    </row>
    <row r="430" ht="15.0" customHeight="1">
      <c r="A430" s="4">
        <v>384.0</v>
      </c>
      <c r="B430" s="5" t="s">
        <v>1976</v>
      </c>
      <c r="C430" s="6" t="s">
        <v>1981</v>
      </c>
      <c r="D430" s="6" t="s">
        <v>1654</v>
      </c>
      <c r="E430" s="4" t="s">
        <v>5</v>
      </c>
      <c r="F430" s="7">
        <v>38056.98</v>
      </c>
      <c r="H430" s="22" t="str">
        <f t="shared" si="1"/>
        <v>Mantenimiento y/o Refacciones en Instalaciones Sanitarias Cambio de Flexible en Artefacto</v>
      </c>
      <c r="I430" s="23">
        <f t="shared" si="3"/>
        <v>38056.98</v>
      </c>
    </row>
    <row r="431" ht="15.0" customHeight="1">
      <c r="A431" s="8">
        <v>386.0</v>
      </c>
      <c r="B431" s="9" t="s">
        <v>1976</v>
      </c>
      <c r="C431" s="10" t="s">
        <v>1982</v>
      </c>
      <c r="D431" s="10" t="s">
        <v>1654</v>
      </c>
      <c r="E431" s="8" t="s">
        <v>5</v>
      </c>
      <c r="F431" s="11">
        <v>53279.76</v>
      </c>
      <c r="H431" s="22" t="str">
        <f t="shared" si="1"/>
        <v>Mantenimiento y/o Refacciones en Instalaciones Sanitarias Cambio de Monocomando de Cocina</v>
      </c>
      <c r="I431" s="23">
        <f t="shared" si="3"/>
        <v>53279.76</v>
      </c>
    </row>
    <row r="432" ht="15.0" customHeight="1">
      <c r="A432" s="4">
        <v>393.0</v>
      </c>
      <c r="B432" s="5" t="s">
        <v>1976</v>
      </c>
      <c r="C432" s="6" t="s">
        <v>1983</v>
      </c>
      <c r="D432" s="6" t="s">
        <v>1654</v>
      </c>
      <c r="E432" s="4" t="s">
        <v>5</v>
      </c>
      <c r="F432" s="7">
        <v>122953.3</v>
      </c>
      <c r="H432" s="22" t="str">
        <f t="shared" si="1"/>
        <v>Mantenimiento y/o Refacciones en Instalaciones Sanitarias Cambio de Termotanque (Con Modificación en la Ventilación)</v>
      </c>
      <c r="I432" s="23">
        <f t="shared" si="3"/>
        <v>122953.3</v>
      </c>
    </row>
    <row r="433" ht="15.0" customHeight="1">
      <c r="A433" s="8">
        <v>392.0</v>
      </c>
      <c r="B433" s="9" t="s">
        <v>1976</v>
      </c>
      <c r="C433" s="10" t="s">
        <v>1984</v>
      </c>
      <c r="D433" s="10" t="s">
        <v>1654</v>
      </c>
      <c r="E433" s="8" t="s">
        <v>5</v>
      </c>
      <c r="F433" s="11">
        <v>87823.77</v>
      </c>
      <c r="H433" s="22" t="str">
        <f t="shared" si="1"/>
        <v>Mantenimiento y/o Refacciones en Instalaciones Sanitarias Cambio de Termotanque (Sin Modificar Ventilación)</v>
      </c>
      <c r="I433" s="23">
        <f t="shared" si="3"/>
        <v>87823.77</v>
      </c>
    </row>
    <row r="434" ht="15.0" customHeight="1">
      <c r="A434" s="4">
        <v>385.0</v>
      </c>
      <c r="B434" s="5" t="s">
        <v>1976</v>
      </c>
      <c r="C434" s="6" t="s">
        <v>1985</v>
      </c>
      <c r="D434" s="6" t="s">
        <v>1654</v>
      </c>
      <c r="E434" s="4" t="s">
        <v>5</v>
      </c>
      <c r="F434" s="7">
        <v>58549.19</v>
      </c>
      <c r="H434" s="22" t="str">
        <f t="shared" si="1"/>
        <v>Mantenimiento y/o Refacciones en Instalaciones Sanitarias Cambio de Válvula de Cierre de Tanque de Reserva (Flotante)</v>
      </c>
      <c r="I434" s="23">
        <f t="shared" si="3"/>
        <v>58549.19</v>
      </c>
    </row>
    <row r="435" ht="15.0" customHeight="1">
      <c r="A435" s="8">
        <v>377.0</v>
      </c>
      <c r="B435" s="9" t="s">
        <v>1976</v>
      </c>
      <c r="C435" s="10" t="s">
        <v>1986</v>
      </c>
      <c r="D435" s="10" t="s">
        <v>1654</v>
      </c>
      <c r="E435" s="8" t="s">
        <v>5</v>
      </c>
      <c r="F435" s="11">
        <v>421554.16</v>
      </c>
      <c r="H435" s="22" t="str">
        <f t="shared" si="1"/>
        <v>Mantenimiento y/o Refacciones en Instalaciones Sanitarias Colocación de Tanque de Reserva en Planta Alta</v>
      </c>
      <c r="I435" s="23">
        <f t="shared" si="3"/>
        <v>421554.16</v>
      </c>
    </row>
    <row r="436" ht="15.0" customHeight="1">
      <c r="A436" s="4">
        <v>376.0</v>
      </c>
      <c r="B436" s="5" t="s">
        <v>1976</v>
      </c>
      <c r="C436" s="6" t="s">
        <v>1987</v>
      </c>
      <c r="D436" s="6" t="s">
        <v>1654</v>
      </c>
      <c r="E436" s="4" t="s">
        <v>5</v>
      </c>
      <c r="F436" s="7">
        <v>215461.02</v>
      </c>
      <c r="H436" s="22" t="str">
        <f t="shared" si="1"/>
        <v>Mantenimiento y/o Refacciones en Instalaciones Sanitarias Colocación de Tanque de Reserva en Planta Baja</v>
      </c>
      <c r="I436" s="23">
        <f t="shared" si="3"/>
        <v>215461.02</v>
      </c>
    </row>
    <row r="437" ht="15.0" customHeight="1">
      <c r="A437" s="8">
        <v>370.0</v>
      </c>
      <c r="B437" s="9" t="s">
        <v>1976</v>
      </c>
      <c r="C437" s="10" t="s">
        <v>1988</v>
      </c>
      <c r="D437" s="10"/>
      <c r="E437" s="8" t="s">
        <v>76</v>
      </c>
      <c r="F437" s="11">
        <v>76113.95</v>
      </c>
      <c r="H437" s="22" t="str">
        <f t="shared" si="1"/>
        <v>Mantenimiento y/o Refacciones en Instalaciones Sanitarias Desobstrucción Desagües Horizontales</v>
      </c>
      <c r="I437" s="23">
        <f t="shared" si="3"/>
        <v>76113.95</v>
      </c>
    </row>
    <row r="438" ht="15.0" customHeight="1">
      <c r="A438" s="4">
        <v>372.0</v>
      </c>
      <c r="B438" s="5" t="s">
        <v>1976</v>
      </c>
      <c r="C438" s="6" t="s">
        <v>1989</v>
      </c>
      <c r="D438" s="6"/>
      <c r="E438" s="4" t="s">
        <v>76</v>
      </c>
      <c r="F438" s="7">
        <v>70259.02</v>
      </c>
      <c r="H438" s="22" t="str">
        <f t="shared" si="1"/>
        <v>Mantenimiento y/o Refacciones en Instalaciones Sanitarias Desobstrucción Desagües Verticales</v>
      </c>
      <c r="I438" s="23">
        <f t="shared" si="3"/>
        <v>70259.02</v>
      </c>
    </row>
    <row r="439" ht="15.0" customHeight="1">
      <c r="A439" s="8">
        <v>381.0</v>
      </c>
      <c r="B439" s="9" t="s">
        <v>1976</v>
      </c>
      <c r="C439" s="10" t="s">
        <v>1990</v>
      </c>
      <c r="D439" s="10" t="s">
        <v>1654</v>
      </c>
      <c r="E439" s="8" t="s">
        <v>5</v>
      </c>
      <c r="F439" s="11">
        <v>175647.57</v>
      </c>
      <c r="H439" s="22" t="str">
        <f t="shared" si="1"/>
        <v>Mantenimiento y/o Refacciones en Instalaciones Sanitarias Instalación Bomba Presurizadora Bajo Tanque con By-Pass (Hasta 3 Bajadas)</v>
      </c>
      <c r="I439" s="23">
        <f t="shared" si="3"/>
        <v>175647.57</v>
      </c>
    </row>
    <row r="440" ht="15.0" customHeight="1">
      <c r="A440" s="4">
        <v>380.0</v>
      </c>
      <c r="B440" s="5" t="s">
        <v>1976</v>
      </c>
      <c r="C440" s="6" t="s">
        <v>1991</v>
      </c>
      <c r="D440" s="6" t="s">
        <v>1654</v>
      </c>
      <c r="E440" s="4" t="s">
        <v>5</v>
      </c>
      <c r="F440" s="7">
        <v>89580.26</v>
      </c>
      <c r="H440" s="22" t="str">
        <f t="shared" si="1"/>
        <v>Mantenimiento y/o Refacciones en Instalaciones Sanitarias Instalación Bomba Presurizadora Pre-Calentador de Agua</v>
      </c>
      <c r="I440" s="23">
        <f t="shared" si="3"/>
        <v>89580.26</v>
      </c>
    </row>
    <row r="441" ht="15.0" customHeight="1">
      <c r="A441" s="8">
        <v>383.0</v>
      </c>
      <c r="B441" s="9" t="s">
        <v>1976</v>
      </c>
      <c r="C441" s="10" t="s">
        <v>1992</v>
      </c>
      <c r="D441" s="10" t="s">
        <v>1654</v>
      </c>
      <c r="E441" s="8" t="s">
        <v>5</v>
      </c>
      <c r="F441" s="11">
        <v>573782.05</v>
      </c>
      <c r="H441" s="22" t="str">
        <f t="shared" si="1"/>
        <v>Mantenimiento y/o Refacciones en Instalaciones Sanitarias Instalación Cisterna con Bomba Elevadora (Con Automatización)</v>
      </c>
      <c r="I441" s="23">
        <f t="shared" si="3"/>
        <v>573782.05</v>
      </c>
    </row>
    <row r="442" ht="15.0" customHeight="1">
      <c r="A442" s="4">
        <v>382.0</v>
      </c>
      <c r="B442" s="5" t="s">
        <v>1976</v>
      </c>
      <c r="C442" s="6" t="s">
        <v>1993</v>
      </c>
      <c r="D442" s="6" t="s">
        <v>1654</v>
      </c>
      <c r="E442" s="4" t="s">
        <v>5</v>
      </c>
      <c r="F442" s="7">
        <v>357150.05</v>
      </c>
      <c r="H442" s="22" t="str">
        <f t="shared" si="1"/>
        <v>Mantenimiento y/o Refacciones en Instalaciones Sanitarias Instalación Cisterna con Bomba Elevadora (Sin Automatización)</v>
      </c>
      <c r="I442" s="23">
        <f t="shared" si="3"/>
        <v>357150.05</v>
      </c>
    </row>
    <row r="443" ht="15.0" customHeight="1">
      <c r="A443" s="8">
        <v>388.0</v>
      </c>
      <c r="B443" s="9" t="s">
        <v>1976</v>
      </c>
      <c r="C443" s="10" t="s">
        <v>1994</v>
      </c>
      <c r="D443" s="10"/>
      <c r="E443" s="8" t="s">
        <v>5</v>
      </c>
      <c r="F443" s="11">
        <v>19321.24</v>
      </c>
      <c r="H443" s="22" t="str">
        <f t="shared" si="1"/>
        <v>Mantenimiento y/o Refacciones en Instalaciones Sanitarias Limpieza de Sifón de Bacha Bajo Mesada</v>
      </c>
      <c r="I443" s="23">
        <f t="shared" si="3"/>
        <v>19321.24</v>
      </c>
    </row>
    <row r="444" ht="15.0" customHeight="1">
      <c r="A444" s="4">
        <v>375.0</v>
      </c>
      <c r="B444" s="5" t="s">
        <v>1976</v>
      </c>
      <c r="C444" s="6" t="s">
        <v>1995</v>
      </c>
      <c r="D444" s="6"/>
      <c r="E444" s="4" t="s">
        <v>5</v>
      </c>
      <c r="F444" s="7">
        <v>292745.95</v>
      </c>
      <c r="H444" s="22" t="str">
        <f t="shared" si="1"/>
        <v>Mantenimiento y/o Refacciones en Instalaciones Sanitarias Limpieza de Tanque de Reserva de Edificio</v>
      </c>
      <c r="I444" s="23">
        <f t="shared" si="3"/>
        <v>292745.95</v>
      </c>
    </row>
    <row r="445" ht="15.0" customHeight="1">
      <c r="A445" s="8">
        <v>374.0</v>
      </c>
      <c r="B445" s="9" t="s">
        <v>1976</v>
      </c>
      <c r="C445" s="10" t="s">
        <v>1996</v>
      </c>
      <c r="D445" s="10"/>
      <c r="E445" s="8" t="s">
        <v>5</v>
      </c>
      <c r="F445" s="11">
        <v>175647.57</v>
      </c>
      <c r="H445" s="22" t="str">
        <f t="shared" si="1"/>
        <v>Mantenimiento y/o Refacciones en Instalaciones Sanitarias Limpieza de Tanque de Reserva hasta 1.000 lts en Planta Alta</v>
      </c>
      <c r="I445" s="23">
        <f t="shared" si="3"/>
        <v>175647.57</v>
      </c>
    </row>
    <row r="446" ht="15.0" customHeight="1">
      <c r="A446" s="4">
        <v>373.0</v>
      </c>
      <c r="B446" s="5" t="s">
        <v>1976</v>
      </c>
      <c r="C446" s="6" t="s">
        <v>1997</v>
      </c>
      <c r="D446" s="6"/>
      <c r="E446" s="4" t="s">
        <v>5</v>
      </c>
      <c r="F446" s="7">
        <v>105388.53</v>
      </c>
      <c r="H446" s="22" t="str">
        <f t="shared" si="1"/>
        <v>Mantenimiento y/o Refacciones en Instalaciones Sanitarias Limpieza de Tanque de Reserva hasta 1.000 lts en Planta Baja</v>
      </c>
      <c r="I446" s="23">
        <f t="shared" si="3"/>
        <v>105388.53</v>
      </c>
    </row>
    <row r="447" ht="15.0" customHeight="1">
      <c r="A447" s="8">
        <v>379.0</v>
      </c>
      <c r="B447" s="9" t="s">
        <v>1976</v>
      </c>
      <c r="C447" s="10" t="s">
        <v>1998</v>
      </c>
      <c r="D447" s="10" t="s">
        <v>1654</v>
      </c>
      <c r="E447" s="8" t="s">
        <v>5</v>
      </c>
      <c r="F447" s="11">
        <v>386424.65</v>
      </c>
      <c r="H447" s="22" t="str">
        <f t="shared" si="1"/>
        <v>Mantenimiento y/o Refacciones en Instalaciones Sanitarias Recambio de Tanque de Fibrocemento por Plástico en Planta Alta</v>
      </c>
      <c r="I447" s="23">
        <f t="shared" si="3"/>
        <v>386424.65</v>
      </c>
    </row>
    <row r="448" ht="15.0" customHeight="1">
      <c r="A448" s="4">
        <v>378.0</v>
      </c>
      <c r="B448" s="5" t="s">
        <v>1976</v>
      </c>
      <c r="C448" s="6" t="s">
        <v>1999</v>
      </c>
      <c r="D448" s="6" t="s">
        <v>1654</v>
      </c>
      <c r="E448" s="4" t="s">
        <v>5</v>
      </c>
      <c r="F448" s="7">
        <v>292745.95</v>
      </c>
      <c r="H448" s="22" t="str">
        <f t="shared" si="1"/>
        <v>Mantenimiento y/o Refacciones en Instalaciones Sanitarias Recambio de Tanque de Fibrocemento por Plástico en Planta Baja</v>
      </c>
      <c r="I448" s="23">
        <f t="shared" si="3"/>
        <v>292745.95</v>
      </c>
    </row>
    <row r="449" ht="15.0" customHeight="1">
      <c r="A449" s="8">
        <v>426.0</v>
      </c>
      <c r="B449" s="9" t="s">
        <v>2000</v>
      </c>
      <c r="C449" s="10" t="s">
        <v>2001</v>
      </c>
      <c r="D449" s="10" t="s">
        <v>1654</v>
      </c>
      <c r="E449" s="8" t="s">
        <v>5</v>
      </c>
      <c r="F449" s="11">
        <v>123854.05</v>
      </c>
      <c r="H449" s="22" t="str">
        <f t="shared" si="1"/>
        <v>Calculo, Mantenimiento y/o Refacciones en Calefacción Automatización por Termostato</v>
      </c>
      <c r="I449" s="23">
        <f t="shared" si="3"/>
        <v>123854.05</v>
      </c>
    </row>
    <row r="450" ht="15.0" customHeight="1">
      <c r="A450" s="4">
        <v>395.0</v>
      </c>
      <c r="B450" s="5" t="s">
        <v>2000</v>
      </c>
      <c r="C450" s="6" t="s">
        <v>2002</v>
      </c>
      <c r="D450" s="6"/>
      <c r="E450" s="4" t="s">
        <v>5</v>
      </c>
      <c r="F450" s="7">
        <v>178575.02</v>
      </c>
      <c r="H450" s="22" t="str">
        <f t="shared" si="1"/>
        <v>Calculo, Mantenimiento y/o Refacciones en Calefacción Balance Térmico para Piso Radiante</v>
      </c>
      <c r="I450" s="23">
        <f t="shared" si="3"/>
        <v>178575.02</v>
      </c>
    </row>
    <row r="451" ht="15.0" customHeight="1">
      <c r="A451" s="8">
        <v>394.0</v>
      </c>
      <c r="B451" s="9" t="s">
        <v>2000</v>
      </c>
      <c r="C451" s="10" t="s">
        <v>2003</v>
      </c>
      <c r="D451" s="10"/>
      <c r="E451" s="8" t="s">
        <v>5</v>
      </c>
      <c r="F451" s="11">
        <v>158082.81</v>
      </c>
      <c r="H451" s="22" t="str">
        <f t="shared" si="1"/>
        <v>Calculo, Mantenimiento y/o Refacciones en Calefacción Calculo y Balance Térmico para Radiadores (Hasta 80m2)</v>
      </c>
      <c r="I451" s="23">
        <f t="shared" si="3"/>
        <v>158082.81</v>
      </c>
    </row>
    <row r="452" ht="15.0" customHeight="1">
      <c r="A452" s="4">
        <v>416.0</v>
      </c>
      <c r="B452" s="5" t="s">
        <v>2000</v>
      </c>
      <c r="C452" s="6" t="s">
        <v>2004</v>
      </c>
      <c r="D452" s="6" t="s">
        <v>1654</v>
      </c>
      <c r="E452" s="4" t="s">
        <v>5</v>
      </c>
      <c r="F452" s="7">
        <v>157632.43</v>
      </c>
      <c r="H452" s="22" t="str">
        <f t="shared" si="1"/>
        <v>Calculo, Mantenimiento y/o Refacciones en Calefacción Cambio de Bomba Circuladora</v>
      </c>
      <c r="I452" s="23">
        <f t="shared" si="3"/>
        <v>157632.43</v>
      </c>
    </row>
    <row r="453" ht="15.0" customHeight="1">
      <c r="A453" s="8">
        <v>415.0</v>
      </c>
      <c r="B453" s="9" t="s">
        <v>2000</v>
      </c>
      <c r="C453" s="10" t="s">
        <v>2005</v>
      </c>
      <c r="D453" s="10" t="s">
        <v>1654</v>
      </c>
      <c r="E453" s="8" t="s">
        <v>5</v>
      </c>
      <c r="F453" s="11">
        <v>360302.71</v>
      </c>
      <c r="H453" s="22" t="str">
        <f t="shared" si="1"/>
        <v>Calculo, Mantenimiento y/o Refacciones en Calefacción Cambio de Caldera</v>
      </c>
      <c r="I453" s="23">
        <f t="shared" si="3"/>
        <v>360302.71</v>
      </c>
    </row>
    <row r="454" ht="15.0" customHeight="1">
      <c r="A454" s="4">
        <v>420.0</v>
      </c>
      <c r="B454" s="5" t="s">
        <v>2000</v>
      </c>
      <c r="C454" s="6" t="s">
        <v>2006</v>
      </c>
      <c r="D454" s="6" t="s">
        <v>1654</v>
      </c>
      <c r="E454" s="4" t="s">
        <v>5</v>
      </c>
      <c r="F454" s="7">
        <v>129483.79</v>
      </c>
      <c r="H454" s="22" t="str">
        <f t="shared" si="1"/>
        <v>Calculo, Mantenimiento y/o Refacciones en Calefacción Cambio de Flujostato</v>
      </c>
      <c r="I454" s="23">
        <f t="shared" si="3"/>
        <v>129483.79</v>
      </c>
    </row>
    <row r="455" ht="15.0" customHeight="1">
      <c r="A455" s="8">
        <v>424.0</v>
      </c>
      <c r="B455" s="9" t="s">
        <v>2000</v>
      </c>
      <c r="C455" s="10" t="s">
        <v>2007</v>
      </c>
      <c r="D455" s="10" t="s">
        <v>1654</v>
      </c>
      <c r="E455" s="8" t="s">
        <v>5</v>
      </c>
      <c r="F455" s="11">
        <v>247708.11</v>
      </c>
      <c r="H455" s="22" t="str">
        <f t="shared" si="1"/>
        <v>Calculo, Mantenimiento y/o Refacciones en Calefacción Cambio de Forzador</v>
      </c>
      <c r="I455" s="23">
        <f t="shared" si="3"/>
        <v>247708.11</v>
      </c>
    </row>
    <row r="456" ht="15.0" customHeight="1">
      <c r="A456" s="4">
        <v>425.0</v>
      </c>
      <c r="B456" s="5" t="s">
        <v>2000</v>
      </c>
      <c r="C456" s="6" t="s">
        <v>2008</v>
      </c>
      <c r="D456" s="6" t="s">
        <v>1654</v>
      </c>
      <c r="E456" s="4" t="s">
        <v>5</v>
      </c>
      <c r="F456" s="7">
        <v>163262.16</v>
      </c>
      <c r="H456" s="22" t="str">
        <f t="shared" si="1"/>
        <v>Calculo, Mantenimiento y/o Refacciones en Calefacción Cambio de Placa Electrónica</v>
      </c>
      <c r="I456" s="23">
        <f t="shared" si="3"/>
        <v>163262.16</v>
      </c>
    </row>
    <row r="457" ht="15.0" customHeight="1">
      <c r="A457" s="8">
        <v>421.0</v>
      </c>
      <c r="B457" s="9" t="s">
        <v>2000</v>
      </c>
      <c r="C457" s="10" t="s">
        <v>2009</v>
      </c>
      <c r="D457" s="10" t="s">
        <v>1654</v>
      </c>
      <c r="E457" s="8" t="s">
        <v>5</v>
      </c>
      <c r="F457" s="11">
        <v>129483.79</v>
      </c>
      <c r="H457" s="22" t="str">
        <f t="shared" si="1"/>
        <v>Calculo, Mantenimiento y/o Refacciones en Calefacción Cambio de Presostato de Agua</v>
      </c>
      <c r="I457" s="23">
        <f t="shared" si="3"/>
        <v>129483.79</v>
      </c>
    </row>
    <row r="458" ht="15.0" customHeight="1">
      <c r="A458" s="4">
        <v>422.0</v>
      </c>
      <c r="B458" s="5" t="s">
        <v>2000</v>
      </c>
      <c r="C458" s="6" t="s">
        <v>2010</v>
      </c>
      <c r="D458" s="6" t="s">
        <v>1654</v>
      </c>
      <c r="E458" s="4" t="s">
        <v>5</v>
      </c>
      <c r="F458" s="7">
        <v>101335.14</v>
      </c>
      <c r="H458" s="22" t="str">
        <f t="shared" si="1"/>
        <v>Calculo, Mantenimiento y/o Refacciones en Calefacción Cambio de Presostato de Humo</v>
      </c>
      <c r="I458" s="23">
        <f t="shared" si="3"/>
        <v>101335.14</v>
      </c>
    </row>
    <row r="459" ht="15.0" customHeight="1">
      <c r="A459" s="8">
        <v>417.0</v>
      </c>
      <c r="B459" s="9" t="s">
        <v>2000</v>
      </c>
      <c r="C459" s="10" t="s">
        <v>2011</v>
      </c>
      <c r="D459" s="10" t="s">
        <v>1654</v>
      </c>
      <c r="E459" s="8" t="s">
        <v>5</v>
      </c>
      <c r="F459" s="11">
        <v>180151.35</v>
      </c>
      <c r="H459" s="22" t="str">
        <f t="shared" si="1"/>
        <v>Calculo, Mantenimiento y/o Refacciones en Calefacción Cambio de Serpentina</v>
      </c>
      <c r="I459" s="23">
        <f t="shared" si="3"/>
        <v>180151.35</v>
      </c>
    </row>
    <row r="460" ht="15.0" customHeight="1">
      <c r="A460" s="4">
        <v>419.0</v>
      </c>
      <c r="B460" s="5" t="s">
        <v>2000</v>
      </c>
      <c r="C460" s="6" t="s">
        <v>2012</v>
      </c>
      <c r="D460" s="6" t="s">
        <v>1654</v>
      </c>
      <c r="E460" s="4" t="s">
        <v>5</v>
      </c>
      <c r="F460" s="7">
        <v>129483.79</v>
      </c>
      <c r="H460" s="22" t="str">
        <f t="shared" si="1"/>
        <v>Calculo, Mantenimiento y/o Refacciones en Calefacción Cambio de Sonda NTC</v>
      </c>
      <c r="I460" s="23">
        <f t="shared" si="3"/>
        <v>129483.79</v>
      </c>
    </row>
    <row r="461" ht="15.0" customHeight="1">
      <c r="A461" s="8">
        <v>423.0</v>
      </c>
      <c r="B461" s="9" t="s">
        <v>2000</v>
      </c>
      <c r="C461" s="10" t="s">
        <v>2013</v>
      </c>
      <c r="D461" s="10" t="s">
        <v>1654</v>
      </c>
      <c r="E461" s="8" t="s">
        <v>5</v>
      </c>
      <c r="F461" s="11">
        <v>101335.14</v>
      </c>
      <c r="H461" s="22" t="str">
        <f t="shared" si="1"/>
        <v>Calculo, Mantenimiento y/o Refacciones en Calefacción Cambio de Trampa de Condensado</v>
      </c>
      <c r="I461" s="23">
        <f t="shared" si="3"/>
        <v>101335.14</v>
      </c>
    </row>
    <row r="462" ht="15.0" customHeight="1">
      <c r="A462" s="4">
        <v>418.0</v>
      </c>
      <c r="B462" s="5" t="s">
        <v>2000</v>
      </c>
      <c r="C462" s="6" t="s">
        <v>2014</v>
      </c>
      <c r="D462" s="6" t="s">
        <v>1654</v>
      </c>
      <c r="E462" s="4" t="s">
        <v>5</v>
      </c>
      <c r="F462" s="7">
        <v>157632.43</v>
      </c>
      <c r="H462" s="22" t="str">
        <f t="shared" si="1"/>
        <v>Calculo, Mantenimiento y/o Refacciones en Calefacción Cambio de Válvula de Gas</v>
      </c>
      <c r="I462" s="23">
        <f t="shared" si="3"/>
        <v>157632.43</v>
      </c>
    </row>
    <row r="463" ht="15.0" customHeight="1">
      <c r="A463" s="8">
        <v>414.0</v>
      </c>
      <c r="B463" s="9" t="s">
        <v>2000</v>
      </c>
      <c r="C463" s="10" t="s">
        <v>2015</v>
      </c>
      <c r="D463" s="10" t="s">
        <v>1654</v>
      </c>
      <c r="E463" s="8" t="s">
        <v>5</v>
      </c>
      <c r="F463" s="11">
        <v>202670.27</v>
      </c>
      <c r="H463" s="22" t="str">
        <f t="shared" si="1"/>
        <v>Calculo, Mantenimiento y/o Refacciones en Calefacción Cambio de Vaso de Expansion Desmontando Caldera</v>
      </c>
      <c r="I463" s="23">
        <f t="shared" si="3"/>
        <v>202670.27</v>
      </c>
    </row>
    <row r="464" ht="15.0" customHeight="1">
      <c r="A464" s="4">
        <v>413.0</v>
      </c>
      <c r="B464" s="5" t="s">
        <v>2000</v>
      </c>
      <c r="C464" s="6" t="s">
        <v>2016</v>
      </c>
      <c r="D464" s="6"/>
      <c r="E464" s="4" t="s">
        <v>5</v>
      </c>
      <c r="F464" s="7">
        <v>68682.7</v>
      </c>
      <c r="H464" s="22" t="str">
        <f t="shared" si="1"/>
        <v>Calculo, Mantenimiento y/o Refacciones en Calefacción Detección de Perdida en Sistema de Calefacción (Sin Reparación)</v>
      </c>
      <c r="I464" s="23">
        <f t="shared" si="3"/>
        <v>68682.7</v>
      </c>
    </row>
    <row r="465" ht="15.0" customHeight="1">
      <c r="A465" s="8">
        <v>410.0</v>
      </c>
      <c r="B465" s="9" t="s">
        <v>2000</v>
      </c>
      <c r="C465" s="10" t="s">
        <v>2017</v>
      </c>
      <c r="D465" s="10"/>
      <c r="E465" s="8" t="s">
        <v>5</v>
      </c>
      <c r="F465" s="11">
        <v>75438.38</v>
      </c>
      <c r="H465" s="22" t="str">
        <f t="shared" si="1"/>
        <v>Calculo, Mantenimiento y/o Refacciones en Calefacción Limpieza Radiador de Aluminio (hasta 12 velas)</v>
      </c>
      <c r="I465" s="23">
        <f t="shared" si="3"/>
        <v>75438.38</v>
      </c>
    </row>
    <row r="466" ht="15.0" customHeight="1">
      <c r="A466" s="4">
        <v>411.0</v>
      </c>
      <c r="B466" s="5" t="s">
        <v>2000</v>
      </c>
      <c r="C466" s="6" t="s">
        <v>2018</v>
      </c>
      <c r="D466" s="6"/>
      <c r="E466" s="4" t="s">
        <v>5</v>
      </c>
      <c r="F466" s="7">
        <v>84445.94</v>
      </c>
      <c r="H466" s="22" t="str">
        <f t="shared" si="1"/>
        <v>Calculo, Mantenimiento y/o Refacciones en Calefacción Limpieza Radiador de Fundición (hasta 12 velas)</v>
      </c>
      <c r="I466" s="23">
        <f t="shared" si="3"/>
        <v>84445.94</v>
      </c>
    </row>
    <row r="467" ht="15.0" customHeight="1">
      <c r="A467" s="8">
        <v>412.0</v>
      </c>
      <c r="B467" s="9" t="s">
        <v>2000</v>
      </c>
      <c r="C467" s="10" t="s">
        <v>2019</v>
      </c>
      <c r="D467" s="10"/>
      <c r="E467" s="8" t="s">
        <v>5</v>
      </c>
      <c r="F467" s="11">
        <v>168891.9</v>
      </c>
      <c r="H467" s="22" t="str">
        <f t="shared" si="1"/>
        <v>Calculo, Mantenimiento y/o Refacciones en Calefacción Reparación Caldera-Diagnostico de Falla (Sin Repuestos)</v>
      </c>
      <c r="I467" s="23">
        <f t="shared" si="3"/>
        <v>168891.9</v>
      </c>
    </row>
    <row r="468" ht="15.0" customHeight="1">
      <c r="A468" s="4">
        <v>447.0</v>
      </c>
      <c r="B468" s="5" t="s">
        <v>1406</v>
      </c>
      <c r="C468" s="6" t="s">
        <v>2020</v>
      </c>
      <c r="D468" s="6"/>
      <c r="E468" s="4" t="s">
        <v>76</v>
      </c>
      <c r="F468" s="7">
        <v>12609.65</v>
      </c>
      <c r="H468" s="22" t="str">
        <f t="shared" si="1"/>
        <v>Zingueria Colocación de Babeta Perimetral Color Amurada/Atornillada</v>
      </c>
      <c r="I468" s="23">
        <f t="shared" si="3"/>
        <v>12609.65</v>
      </c>
    </row>
    <row r="469" ht="15.0" customHeight="1">
      <c r="A469" s="8">
        <v>446.0</v>
      </c>
      <c r="B469" s="9" t="s">
        <v>1406</v>
      </c>
      <c r="C469" s="10" t="s">
        <v>2021</v>
      </c>
      <c r="D469" s="10"/>
      <c r="E469" s="8" t="s">
        <v>76</v>
      </c>
      <c r="F469" s="11">
        <v>12609.65</v>
      </c>
      <c r="H469" s="22" t="str">
        <f t="shared" si="1"/>
        <v>Zingueria Colocación de Babeta Perimetral Galvanizada Amurada/Atornillada</v>
      </c>
      <c r="I469" s="23">
        <f t="shared" si="3"/>
        <v>12609.65</v>
      </c>
    </row>
    <row r="470" ht="15.0" customHeight="1">
      <c r="A470" s="4">
        <v>448.0</v>
      </c>
      <c r="B470" s="5" t="s">
        <v>1406</v>
      </c>
      <c r="C470" s="6" t="s">
        <v>2022</v>
      </c>
      <c r="D470" s="6"/>
      <c r="E470" s="4" t="s">
        <v>76</v>
      </c>
      <c r="F470" s="7">
        <v>7881.03</v>
      </c>
      <c r="H470" s="22" t="str">
        <f t="shared" si="1"/>
        <v>Zingueria Colocación de Bajada de Desagües en Chapa Galvanizada Vista Engrampada</v>
      </c>
      <c r="I470" s="23">
        <f t="shared" si="3"/>
        <v>7881.03</v>
      </c>
    </row>
    <row r="471" ht="15.0" customHeight="1">
      <c r="A471" s="8">
        <v>450.0</v>
      </c>
      <c r="B471" s="9" t="s">
        <v>1406</v>
      </c>
      <c r="C471" s="10" t="s">
        <v>2023</v>
      </c>
      <c r="D471" s="10"/>
      <c r="E471" s="8" t="s">
        <v>76</v>
      </c>
      <c r="F471" s="11">
        <v>8406.43</v>
      </c>
      <c r="H471" s="22" t="str">
        <f t="shared" si="1"/>
        <v>Zingueria Colocación de Canaleta Exterior Galvanizada Vista</v>
      </c>
      <c r="I471" s="23">
        <f t="shared" si="3"/>
        <v>8406.43</v>
      </c>
    </row>
    <row r="472" ht="15.0" customHeight="1">
      <c r="A472" s="4">
        <v>452.0</v>
      </c>
      <c r="B472" s="5" t="s">
        <v>1406</v>
      </c>
      <c r="C472" s="6" t="s">
        <v>2024</v>
      </c>
      <c r="D472" s="6"/>
      <c r="E472" s="4" t="s">
        <v>76</v>
      </c>
      <c r="F472" s="7">
        <v>18914.47</v>
      </c>
      <c r="H472" s="22" t="str">
        <f t="shared" si="1"/>
        <v>Zingueria Colocación de Canaleta Interna Contramuro Galvanizada</v>
      </c>
      <c r="I472" s="23">
        <f t="shared" si="3"/>
        <v>18914.47</v>
      </c>
    </row>
    <row r="473" ht="15.0" customHeight="1">
      <c r="A473" s="8">
        <v>502.0</v>
      </c>
      <c r="B473" s="9" t="s">
        <v>1406</v>
      </c>
      <c r="C473" s="10" t="s">
        <v>2025</v>
      </c>
      <c r="D473" s="10"/>
      <c r="E473" s="8" t="s">
        <v>76</v>
      </c>
      <c r="F473" s="11">
        <v>18914.88</v>
      </c>
      <c r="H473" s="22" t="str">
        <f t="shared" si="1"/>
        <v>Zingueria Colocación de Canaleta Interna Conversa Galvanizada</v>
      </c>
      <c r="I473" s="23">
        <f t="shared" si="3"/>
        <v>18914.88</v>
      </c>
    </row>
    <row r="474" ht="15.0" customHeight="1">
      <c r="A474" s="4">
        <v>451.0</v>
      </c>
      <c r="B474" s="5" t="s">
        <v>1406</v>
      </c>
      <c r="C474" s="6" t="s">
        <v>2026</v>
      </c>
      <c r="D474" s="6"/>
      <c r="E474" s="4" t="s">
        <v>76</v>
      </c>
      <c r="F474" s="7">
        <v>7355.63</v>
      </c>
      <c r="H474" s="22" t="str">
        <f t="shared" si="1"/>
        <v>Zingueria Colocación de Cenefa Decorativa Galvanizada</v>
      </c>
      <c r="I474" s="23">
        <f t="shared" si="3"/>
        <v>7355.63</v>
      </c>
    </row>
    <row r="475" ht="15.0" customHeight="1">
      <c r="A475" s="8">
        <v>449.0</v>
      </c>
      <c r="B475" s="9" t="s">
        <v>1406</v>
      </c>
      <c r="C475" s="10" t="s">
        <v>2027</v>
      </c>
      <c r="D475" s="10"/>
      <c r="E475" s="8" t="s">
        <v>5</v>
      </c>
      <c r="F475" s="11">
        <v>21016.08</v>
      </c>
      <c r="H475" s="22" t="str">
        <f t="shared" si="1"/>
        <v>Zingueria Colocación de Recibidor/Embudo de Chapa Galvanizada</v>
      </c>
      <c r="I475" s="23">
        <f t="shared" si="3"/>
        <v>21016.08</v>
      </c>
    </row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5.14"/>
    <col customWidth="1" min="2" max="2" width="10.86"/>
  </cols>
  <sheetData>
    <row r="2">
      <c r="A2" s="25" t="s">
        <v>2028</v>
      </c>
      <c r="B2" s="25" t="s">
        <v>2029</v>
      </c>
      <c r="C2" s="25" t="s">
        <v>2030</v>
      </c>
      <c r="D2" s="25" t="s">
        <v>2031</v>
      </c>
      <c r="E2" s="25" t="s">
        <v>2032</v>
      </c>
      <c r="F2" s="25" t="s">
        <v>2033</v>
      </c>
      <c r="G2" s="25" t="s">
        <v>2034</v>
      </c>
      <c r="H2" s="25" t="s">
        <v>2035</v>
      </c>
      <c r="I2" s="25" t="s">
        <v>2036</v>
      </c>
    </row>
    <row r="3">
      <c r="A3" s="25" t="s">
        <v>2037</v>
      </c>
      <c r="B3" s="22" t="str">
        <f>VLOOKUP(A3,'Rendimientos V03'!$A$3:$F$1348,6,FALSE)</f>
        <v>Demolicion</v>
      </c>
      <c r="D3" s="22" t="str">
        <f>VLOOKUP(A3,'Rendimientos V03'!$A$3:$F$1348,2,FALSE)</f>
        <v>m2</v>
      </c>
      <c r="E3" s="26">
        <f>IFERROR(VLOOKUP(A3,RELACIONES!$G$2:$I$55,3,FALSE),0)</f>
        <v>31742.08</v>
      </c>
      <c r="F3" s="26">
        <f>IFERROR(SUMIF('Rendimientos V03'!$A$3:$A$348,A3,'Rendimientos V03'!$K$3:$K$348),0)</f>
        <v>0</v>
      </c>
      <c r="I3" s="26">
        <f t="shared" ref="I3:I50" si="1">E3+F3</f>
        <v>31742.08</v>
      </c>
    </row>
    <row r="4">
      <c r="A4" s="25" t="s">
        <v>2038</v>
      </c>
      <c r="B4" s="22" t="str">
        <f>VLOOKUP(A4,'Rendimientos V03'!$A$3:$F$1348,6,FALSE)</f>
        <v>Demolicion</v>
      </c>
      <c r="D4" s="22" t="str">
        <f>VLOOKUP(A4,'Rendimientos V03'!$A$3:$F$1348,2,FALSE)</f>
        <v>m2</v>
      </c>
      <c r="E4" s="26">
        <f>IFERROR(VLOOKUP(A4,RELACIONES!$G$2:$I$55,3,FALSE),0)</f>
        <v>33218.38</v>
      </c>
      <c r="F4" s="26">
        <f>IFERROR(SUMIF('Rendimientos V03'!$A$3:$A$348,A4,'Rendimientos V03'!$K$3:$K$348),0)</f>
        <v>0</v>
      </c>
      <c r="I4" s="26">
        <f t="shared" si="1"/>
        <v>33218.38</v>
      </c>
    </row>
    <row r="5">
      <c r="A5" s="25" t="s">
        <v>2039</v>
      </c>
      <c r="B5" s="22" t="str">
        <f>VLOOKUP(A5,'Rendimientos V03'!$A$3:$F$1348,6,FALSE)</f>
        <v>Demolicion</v>
      </c>
      <c r="D5" s="22" t="str">
        <f>VLOOKUP(A5,'Rendimientos V03'!$A$3:$F$1348,2,FALSE)</f>
        <v>m2</v>
      </c>
      <c r="E5" s="26">
        <f>IFERROR(VLOOKUP(A5,RELACIONES!$G$2:$I$55,3,FALSE),0)</f>
        <v>41830.57</v>
      </c>
      <c r="F5" s="26">
        <f>IFERROR(SUMIF('Rendimientos V03'!$A$3:$A$348,A5,'Rendimientos V03'!$K$3:$K$348),0)</f>
        <v>0</v>
      </c>
      <c r="I5" s="26">
        <f t="shared" si="1"/>
        <v>41830.57</v>
      </c>
    </row>
    <row r="6">
      <c r="A6" s="25" t="s">
        <v>2040</v>
      </c>
      <c r="B6" s="22" t="str">
        <f>VLOOKUP(A6,'Rendimientos V03'!$A$3:$F$1348,6,FALSE)</f>
        <v>Demolicion</v>
      </c>
      <c r="D6" s="22" t="str">
        <f>VLOOKUP(A6,'Rendimientos V03'!$A$3:$F$1348,2,FALSE)</f>
        <v>m2</v>
      </c>
      <c r="E6" s="26">
        <f>IFERROR(VLOOKUP(A6,RELACIONES!$G$2:$I$55,3,FALSE),0)</f>
        <v>40231.176</v>
      </c>
      <c r="F6" s="26">
        <f>IFERROR(SUMIF('Rendimientos V03'!$A$3:$A$348,A6,'Rendimientos V03'!$K$3:$K$348),0)</f>
        <v>0</v>
      </c>
      <c r="I6" s="26">
        <f t="shared" si="1"/>
        <v>40231.176</v>
      </c>
    </row>
    <row r="7">
      <c r="A7" s="27" t="s">
        <v>2041</v>
      </c>
      <c r="B7" s="22" t="str">
        <f>VLOOKUP(A7,'Rendimientos V03'!$A$3:$F$1348,6,FALSE)</f>
        <v>Albañilería</v>
      </c>
      <c r="D7" s="22" t="str">
        <f>VLOOKUP(A7,'Rendimientos V03'!$A$3:$F$1348,2,FALSE)</f>
        <v>m2</v>
      </c>
      <c r="E7" s="26">
        <f>IFERROR(VLOOKUP(A7,RELACIONES!$G$2:$I$55,3,FALSE),0)</f>
        <v>14953.21</v>
      </c>
      <c r="F7" s="26">
        <f>IFERROR(SUMIF('Rendimientos V03'!$A$3:$A$348,A7,'Rendimientos V03'!$K$3:$K$348),0)</f>
        <v>42377.13394</v>
      </c>
      <c r="I7" s="26">
        <f t="shared" si="1"/>
        <v>57330.34394</v>
      </c>
    </row>
    <row r="8">
      <c r="A8" s="27" t="s">
        <v>2042</v>
      </c>
      <c r="B8" s="22" t="str">
        <f>VLOOKUP(A8,'Rendimientos V03'!$A$3:$F$1348,6,FALSE)</f>
        <v>Albañilería</v>
      </c>
      <c r="D8" s="22" t="str">
        <f>VLOOKUP(A8,'Rendimientos V03'!$A$3:$F$1348,2,FALSE)</f>
        <v>m2</v>
      </c>
      <c r="E8" s="26">
        <f>IFERROR(VLOOKUP(A8,RELACIONES!$G$2:$I$55,3,FALSE),0)</f>
        <v>18247.95</v>
      </c>
      <c r="F8" s="26">
        <f>IFERROR(SUMIF('Rendimientos V03'!$A$3:$A$348,A8,'Rendimientos V03'!$K$3:$K$348),0)</f>
        <v>46881.91674</v>
      </c>
      <c r="I8" s="26">
        <f t="shared" si="1"/>
        <v>65129.86674</v>
      </c>
    </row>
    <row r="9">
      <c r="A9" s="27" t="s">
        <v>2043</v>
      </c>
      <c r="B9" s="22" t="str">
        <f>VLOOKUP(A9,'Rendimientos V03'!$A$3:$F$1348,6,FALSE)</f>
        <v>Albañilería</v>
      </c>
      <c r="D9" s="22" t="str">
        <f>VLOOKUP(A9,'Rendimientos V03'!$A$3:$F$1348,2,FALSE)</f>
        <v>m2</v>
      </c>
      <c r="E9" s="26">
        <f>IFERROR(VLOOKUP(A9,RELACIONES!$G$2:$I$55,3,FALSE),0)</f>
        <v>18085.58</v>
      </c>
      <c r="F9" s="26">
        <f>IFERROR(SUMIF('Rendimientos V03'!$A$3:$A$348,A9,'Rendimientos V03'!$K$3:$K$348),0)</f>
        <v>8102.53905</v>
      </c>
      <c r="I9" s="26">
        <f t="shared" si="1"/>
        <v>26188.11905</v>
      </c>
    </row>
    <row r="10">
      <c r="A10" s="27" t="s">
        <v>2044</v>
      </c>
      <c r="B10" s="22" t="str">
        <f>VLOOKUP(A10,'Rendimientos V03'!$A$3:$F$1348,6,FALSE)</f>
        <v>Albañilería</v>
      </c>
      <c r="D10" s="22" t="str">
        <f>VLOOKUP(A10,'Rendimientos V03'!$A$3:$F$1348,2,FALSE)</f>
        <v>m2</v>
      </c>
      <c r="E10" s="26">
        <f>IFERROR(VLOOKUP(A10,RELACIONES!$G$2:$I$55,3,FALSE),0)</f>
        <v>18085.58</v>
      </c>
      <c r="F10" s="26">
        <f>IFERROR(SUMIF('Rendimientos V03'!$A$3:$A$348,A10,'Rendimientos V03'!$K$3:$K$348),0)</f>
        <v>8102.53905</v>
      </c>
      <c r="I10" s="26">
        <f t="shared" si="1"/>
        <v>26188.11905</v>
      </c>
    </row>
    <row r="11">
      <c r="A11" s="27" t="s">
        <v>2045</v>
      </c>
      <c r="B11" s="22" t="str">
        <f>VLOOKUP(A11,'Rendimientos V03'!$A$3:$F$1348,6,FALSE)</f>
        <v>Albañilería</v>
      </c>
      <c r="D11" s="22" t="str">
        <f>VLOOKUP(A11,'Rendimientos V03'!$A$3:$F$1348,2,FALSE)</f>
        <v>m2</v>
      </c>
      <c r="E11" s="26">
        <f>IFERROR(VLOOKUP(A11,RELACIONES!$G$2:$I$55,3,FALSE),0)</f>
        <v>17129.59</v>
      </c>
      <c r="F11" s="26">
        <f>IFERROR(SUMIF('Rendimientos V03'!$A$3:$A$348,A11,'Rendimientos V03'!$K$3:$K$348),0)</f>
        <v>12751.222</v>
      </c>
      <c r="I11" s="26">
        <f t="shared" si="1"/>
        <v>29880.812</v>
      </c>
    </row>
    <row r="12">
      <c r="A12" s="27" t="s">
        <v>2046</v>
      </c>
      <c r="B12" s="22" t="str">
        <f>VLOOKUP(A12,'Rendimientos V03'!$A$3:$F$1348,6,FALSE)</f>
        <v>Albañilería</v>
      </c>
      <c r="D12" s="22" t="str">
        <f>VLOOKUP(A12,'Rendimientos V03'!$A$3:$F$1348,2,FALSE)</f>
        <v>m2</v>
      </c>
      <c r="E12" s="26">
        <f>IFERROR(VLOOKUP(A12,RELACIONES!$G$2:$I$55,3,FALSE),0)</f>
        <v>17129.59</v>
      </c>
      <c r="F12" s="26">
        <f>IFERROR(SUMIF('Rendimientos V03'!$A$3:$A$348,A12,'Rendimientos V03'!$K$3:$K$348),0)</f>
        <v>12751.222</v>
      </c>
      <c r="I12" s="26">
        <f t="shared" si="1"/>
        <v>29880.812</v>
      </c>
    </row>
    <row r="13">
      <c r="A13" s="27" t="s">
        <v>2047</v>
      </c>
      <c r="B13" s="22" t="str">
        <f>VLOOKUP(A13,'Rendimientos V03'!$A$3:$F$1348,6,FALSE)</f>
        <v>Albañilería</v>
      </c>
      <c r="D13" s="22" t="str">
        <f>VLOOKUP(A13,'Rendimientos V03'!$A$3:$F$1348,2,FALSE)</f>
        <v>m2</v>
      </c>
      <c r="E13" s="26">
        <f>IFERROR(VLOOKUP(A13,RELACIONES!$G$2:$I$55,3,FALSE),0)</f>
        <v>17129.59</v>
      </c>
      <c r="F13" s="26">
        <f>IFERROR(SUMIF('Rendimientos V03'!$A$3:$A$348,A13,'Rendimientos V03'!$K$3:$K$348),0)</f>
        <v>8800</v>
      </c>
      <c r="I13" s="26">
        <f t="shared" si="1"/>
        <v>25929.59</v>
      </c>
    </row>
    <row r="14">
      <c r="A14" s="27" t="s">
        <v>2048</v>
      </c>
      <c r="B14" s="22" t="str">
        <f>VLOOKUP(A14,'Rendimientos V03'!$A$3:$F$1348,6,FALSE)</f>
        <v>Albañilería</v>
      </c>
      <c r="D14" s="22" t="str">
        <f>VLOOKUP(A14,'Rendimientos V03'!$A$3:$F$1348,2,FALSE)</f>
        <v>m2</v>
      </c>
      <c r="E14" s="26">
        <f>IFERROR(VLOOKUP(A14,RELACIONES!$G$2:$I$55,3,FALSE),0)</f>
        <v>0</v>
      </c>
      <c r="F14" s="26">
        <f>IFERROR(SUMIF('Rendimientos V03'!$A$3:$A$348,A14,'Rendimientos V03'!$K$3:$K$348),0)</f>
        <v>4741.660833</v>
      </c>
      <c r="I14" s="26">
        <f t="shared" si="1"/>
        <v>4741.660833</v>
      </c>
    </row>
    <row r="15">
      <c r="A15" s="27" t="s">
        <v>2049</v>
      </c>
      <c r="B15" s="22" t="str">
        <f>VLOOKUP(A15,'Rendimientos V03'!$A$3:$F$1348,6,FALSE)</f>
        <v>Albañilería</v>
      </c>
      <c r="D15" s="22" t="str">
        <f>VLOOKUP(A15,'Rendimientos V03'!$A$3:$F$1348,2,FALSE)</f>
        <v>m2</v>
      </c>
      <c r="E15" s="26">
        <f>IFERROR(VLOOKUP(A15,RELACIONES!$G$2:$I$55,3,FALSE),0)</f>
        <v>0</v>
      </c>
      <c r="F15" s="26">
        <f>IFERROR(SUMIF('Rendimientos V03'!$A$3:$A$348,A15,'Rendimientos V03'!$K$3:$K$348),0)</f>
        <v>4741.660833</v>
      </c>
      <c r="I15" s="26">
        <f t="shared" si="1"/>
        <v>4741.660833</v>
      </c>
    </row>
    <row r="16">
      <c r="A16" s="27" t="s">
        <v>2050</v>
      </c>
      <c r="B16" s="22" t="str">
        <f>VLOOKUP(A16,'Rendimientos V03'!$A$3:$F$1348,6,FALSE)</f>
        <v>Albañilería</v>
      </c>
      <c r="D16" s="22" t="str">
        <f>VLOOKUP(A16,'Rendimientos V03'!$A$3:$F$1348,2,FALSE)</f>
        <v>m2</v>
      </c>
      <c r="E16" s="26">
        <f>IFERROR(VLOOKUP(A16,RELACIONES!$G$2:$I$55,3,FALSE),0)</f>
        <v>0</v>
      </c>
      <c r="F16" s="26">
        <f>IFERROR(SUMIF('Rendimientos V03'!$A$3:$A$348,A16,'Rendimientos V03'!$K$3:$K$348),0)</f>
        <v>880</v>
      </c>
      <c r="I16" s="26">
        <f t="shared" si="1"/>
        <v>880</v>
      </c>
    </row>
    <row r="17">
      <c r="A17" s="27" t="s">
        <v>2051</v>
      </c>
      <c r="B17" s="22" t="str">
        <f>VLOOKUP(A17,'Rendimientos V03'!$A$3:$F$1348,6,FALSE)</f>
        <v>Albañilería</v>
      </c>
      <c r="D17" s="22" t="str">
        <f>VLOOKUP(A17,'Rendimientos V03'!$A$3:$F$1348,2,FALSE)</f>
        <v>m2</v>
      </c>
      <c r="E17" s="26">
        <f>IFERROR(VLOOKUP(A17,RELACIONES!$G$2:$I$55,3,FALSE),0)</f>
        <v>16793.73</v>
      </c>
      <c r="F17" s="26">
        <f>IFERROR(SUMIF('Rendimientos V03'!$A$3:$A$348,A17,'Rendimientos V03'!$K$3:$K$348),0)</f>
        <v>4184.405788</v>
      </c>
      <c r="I17" s="26">
        <f t="shared" si="1"/>
        <v>20978.13579</v>
      </c>
    </row>
    <row r="18">
      <c r="A18" s="27" t="s">
        <v>2052</v>
      </c>
      <c r="B18" s="22" t="str">
        <f>VLOOKUP(A18,'Rendimientos V03'!$A$3:$F$1348,6,FALSE)</f>
        <v>Albañilería</v>
      </c>
      <c r="D18" s="22" t="str">
        <f>VLOOKUP(A18,'Rendimientos V03'!$A$3:$F$1348,2,FALSE)</f>
        <v>m2</v>
      </c>
      <c r="E18" s="26">
        <f>IFERROR(VLOOKUP(A18,RELACIONES!$G$2:$I$55,3,FALSE),0)</f>
        <v>15243.57</v>
      </c>
      <c r="F18" s="26">
        <f>IFERROR(SUMIF('Rendimientos V03'!$A$3:$A$348,A18,'Rendimientos V03'!$K$3:$K$348),0)</f>
        <v>5184.8678</v>
      </c>
      <c r="I18" s="26">
        <f t="shared" si="1"/>
        <v>20428.4378</v>
      </c>
    </row>
    <row r="19">
      <c r="A19" s="27" t="s">
        <v>2053</v>
      </c>
      <c r="B19" s="22" t="str">
        <f>VLOOKUP(A19,'Rendimientos V03'!$A$3:$F$1348,6,FALSE)</f>
        <v>Albañilería</v>
      </c>
      <c r="D19" s="22" t="str">
        <f>VLOOKUP(A19,'Rendimientos V03'!$A$3:$F$1348,2,FALSE)</f>
        <v>m2</v>
      </c>
      <c r="E19" s="26">
        <f>IFERROR(VLOOKUP(A19,RELACIONES!$G$2:$I$55,3,FALSE),0)</f>
        <v>20275.51</v>
      </c>
      <c r="F19" s="26">
        <f>IFERROR(SUMIF('Rendimientos V03'!$A$3:$A$348,A19,'Rendimientos V03'!$K$3:$K$348),0)</f>
        <v>6790.05048</v>
      </c>
      <c r="I19" s="26">
        <f t="shared" si="1"/>
        <v>27065.56048</v>
      </c>
    </row>
    <row r="20">
      <c r="A20" s="27" t="s">
        <v>2054</v>
      </c>
      <c r="B20" s="22" t="str">
        <f>VLOOKUP(A20,'Rendimientos V03'!$A$3:$F$1348,6,FALSE)</f>
        <v>Albañilería</v>
      </c>
      <c r="D20" s="22" t="str">
        <f>VLOOKUP(A20,'Rendimientos V03'!$A$3:$F$1348,2,FALSE)</f>
        <v>m2</v>
      </c>
      <c r="E20" s="26">
        <f>IFERROR(VLOOKUP(A20,RELACIONES!$G$2:$I$55,3,FALSE),0)</f>
        <v>22809.94</v>
      </c>
      <c r="F20" s="26">
        <f>IFERROR(SUMIF('Rendimientos V03'!$A$3:$A$348,A20,'Rendimientos V03'!$K$3:$K$348),0)</f>
        <v>7626.2398</v>
      </c>
      <c r="I20" s="26">
        <f t="shared" si="1"/>
        <v>30436.1798</v>
      </c>
    </row>
    <row r="21">
      <c r="A21" s="27" t="s">
        <v>2055</v>
      </c>
      <c r="B21" s="22" t="str">
        <f>VLOOKUP(A21,'Rendimientos V03'!$A$3:$F$1348,6,FALSE)</f>
        <v>Albañilería</v>
      </c>
      <c r="D21" s="22" t="str">
        <f>VLOOKUP(A21,'Rendimientos V03'!$A$3:$F$1348,2,FALSE)</f>
        <v>m2</v>
      </c>
      <c r="E21" s="26">
        <f>IFERROR(VLOOKUP(A21,RELACIONES!$G$2:$I$55,3,FALSE),0)</f>
        <v>22809.94</v>
      </c>
      <c r="F21" s="26">
        <f>IFERROR(SUMIF('Rendimientos V03'!$A$3:$A$348,A21,'Rendimientos V03'!$K$3:$K$348),0)</f>
        <v>5229.57634</v>
      </c>
      <c r="I21" s="26">
        <f t="shared" si="1"/>
        <v>28039.51634</v>
      </c>
    </row>
    <row r="22">
      <c r="A22" s="27" t="s">
        <v>2056</v>
      </c>
      <c r="B22" s="22" t="str">
        <f>VLOOKUP(A22,'Rendimientos V03'!$A$3:$F$1348,6,FALSE)</f>
        <v>Albañilería</v>
      </c>
      <c r="D22" s="22" t="str">
        <f>VLOOKUP(A22,'Rendimientos V03'!$A$3:$F$1348,2,FALSE)</f>
        <v>m2</v>
      </c>
      <c r="E22" s="26">
        <f>IFERROR(VLOOKUP(A22,RELACIONES!$G$2:$I$55,3,FALSE),0)</f>
        <v>15206.65</v>
      </c>
      <c r="F22" s="26">
        <f>IFERROR(SUMIF('Rendimientos V03'!$A$3:$A$348,A22,'Rendimientos V03'!$K$3:$K$348),0)</f>
        <v>6283.5723</v>
      </c>
      <c r="I22" s="26">
        <f t="shared" si="1"/>
        <v>21490.2223</v>
      </c>
    </row>
    <row r="23">
      <c r="A23" s="27" t="s">
        <v>2057</v>
      </c>
      <c r="B23" s="22" t="str">
        <f>VLOOKUP(A23,'Rendimientos V03'!$A$3:$F$1348,6,FALSE)</f>
        <v>Albañilería</v>
      </c>
      <c r="D23" s="22" t="str">
        <f>VLOOKUP(A23,'Rendimientos V03'!$A$3:$F$1348,2,FALSE)</f>
        <v>m2</v>
      </c>
      <c r="E23" s="26">
        <f>IFERROR(VLOOKUP(A23,RELACIONES!$G$2:$I$55,3,FALSE),0)</f>
        <v>15206.65</v>
      </c>
      <c r="F23" s="26">
        <f>IFERROR(SUMIF('Rendimientos V03'!$A$3:$A$348,A23,'Rendimientos V03'!$K$3:$K$348),0)</f>
        <v>9044.73825</v>
      </c>
      <c r="I23" s="26">
        <f t="shared" si="1"/>
        <v>24251.38825</v>
      </c>
    </row>
    <row r="24">
      <c r="A24" s="27" t="s">
        <v>2058</v>
      </c>
      <c r="B24" s="22" t="str">
        <f>VLOOKUP(A24,'Rendimientos V03'!$A$3:$F$1348,6,FALSE)</f>
        <v>Albañilería</v>
      </c>
      <c r="D24" s="22" t="str">
        <f>VLOOKUP(A24,'Rendimientos V03'!$A$3:$F$1348,2,FALSE)</f>
        <v>m2</v>
      </c>
      <c r="E24" s="26">
        <f>IFERROR(VLOOKUP(A24,RELACIONES!$G$2:$I$55,3,FALSE),0)</f>
        <v>34214.93</v>
      </c>
      <c r="F24" s="26">
        <f>IFERROR(SUMIF('Rendimientos V03'!$A$3:$A$348,A24,'Rendimientos V03'!$K$3:$K$348),0)</f>
        <v>13164.55854</v>
      </c>
      <c r="I24" s="26">
        <f t="shared" si="1"/>
        <v>47379.48854</v>
      </c>
    </row>
    <row r="25">
      <c r="A25" s="27" t="s">
        <v>2059</v>
      </c>
      <c r="B25" s="22" t="str">
        <f>VLOOKUP(A25,'Rendimientos V03'!$A$3:$F$1348,6,FALSE)</f>
        <v>Albañilería</v>
      </c>
      <c r="D25" s="22" t="str">
        <f>VLOOKUP(A25,'Rendimientos V03'!$A$3:$F$1348,2,FALSE)</f>
        <v>m2</v>
      </c>
      <c r="E25" s="26">
        <f>IFERROR(VLOOKUP(A25,RELACIONES!$G$2:$I$55,3,FALSE),0)</f>
        <v>34214.93</v>
      </c>
      <c r="F25" s="26">
        <f>IFERROR(SUMIF('Rendimientos V03'!$A$3:$A$348,A25,'Rendimientos V03'!$K$3:$K$348),0)</f>
        <v>13164.55854</v>
      </c>
      <c r="I25" s="26">
        <f t="shared" si="1"/>
        <v>47379.48854</v>
      </c>
    </row>
    <row r="26">
      <c r="A26" s="27" t="s">
        <v>2060</v>
      </c>
      <c r="B26" s="22" t="str">
        <f>VLOOKUP(A26,'Rendimientos V03'!$A$3:$F$1348,6,FALSE)</f>
        <v>Albañilería</v>
      </c>
      <c r="D26" s="22" t="str">
        <f>VLOOKUP(A26,'Rendimientos V03'!$A$3:$F$1348,2,FALSE)</f>
        <v>m2</v>
      </c>
      <c r="E26" s="26">
        <f>IFERROR(VLOOKUP(A26,RELACIONES!$G$2:$I$55,3,FALSE),0)</f>
        <v>38016.63</v>
      </c>
      <c r="F26" s="26">
        <f>IFERROR(SUMIF('Rendimientos V03'!$A$3:$A$348,A26,'Rendimientos V03'!$K$3:$K$348),0)</f>
        <v>13964.55854</v>
      </c>
      <c r="I26" s="26">
        <f t="shared" si="1"/>
        <v>51981.18854</v>
      </c>
    </row>
    <row r="27">
      <c r="A27" s="27" t="s">
        <v>2061</v>
      </c>
      <c r="B27" s="22" t="str">
        <f>VLOOKUP(A27,'Rendimientos V03'!$A$3:$F$1348,6,FALSE)</f>
        <v>Albañilería</v>
      </c>
      <c r="D27" s="22" t="str">
        <f>VLOOKUP(A27,'Rendimientos V03'!$A$3:$F$1348,2,FALSE)</f>
        <v>m2</v>
      </c>
      <c r="E27" s="26">
        <f>IFERROR(VLOOKUP(A27,RELACIONES!$G$2:$I$55,3,FALSE),0)</f>
        <v>38016.63</v>
      </c>
      <c r="F27" s="26">
        <f>IFERROR(SUMIF('Rendimientos V03'!$A$3:$A$348,A27,'Rendimientos V03'!$K$3:$K$348),0)</f>
        <v>13964.55854</v>
      </c>
      <c r="I27" s="26">
        <f t="shared" si="1"/>
        <v>51981.18854</v>
      </c>
    </row>
    <row r="28">
      <c r="A28" s="27" t="s">
        <v>2062</v>
      </c>
      <c r="B28" s="22" t="str">
        <f>VLOOKUP(A28,'Rendimientos V03'!$A$3:$F$1348,6,FALSE)</f>
        <v>Albañilería</v>
      </c>
      <c r="D28" s="22" t="str">
        <f>VLOOKUP(A28,'Rendimientos V03'!$A$3:$F$1348,2,FALSE)</f>
        <v>m2</v>
      </c>
      <c r="E28" s="26">
        <f>IFERROR(VLOOKUP(A28,RELACIONES!$G$2:$I$55,3,FALSE),0)</f>
        <v>44378.05</v>
      </c>
      <c r="F28" s="26">
        <f>IFERROR(SUMIF('Rendimientos V03'!$A$3:$A$348,A28,'Rendimientos V03'!$K$3:$K$348),0)</f>
        <v>13164.55854</v>
      </c>
      <c r="I28" s="26">
        <f t="shared" si="1"/>
        <v>57542.60854</v>
      </c>
    </row>
    <row r="29">
      <c r="A29" s="27" t="s">
        <v>2063</v>
      </c>
      <c r="B29" s="22" t="str">
        <f>VLOOKUP(A29,'Rendimientos V03'!$A$3:$F$1348,6,FALSE)</f>
        <v>Albañilería</v>
      </c>
      <c r="D29" s="22" t="str">
        <f>VLOOKUP(A29,'Rendimientos V03'!$A$3:$F$1348,2,FALSE)</f>
        <v>m2</v>
      </c>
      <c r="E29" s="26">
        <f>IFERROR(VLOOKUP(A29,RELACIONES!$G$2:$I$55,3,FALSE),0)</f>
        <v>44378.05</v>
      </c>
      <c r="F29" s="26">
        <f>IFERROR(SUMIF('Rendimientos V03'!$A$3:$A$348,A29,'Rendimientos V03'!$K$3:$K$348),0)</f>
        <v>13164.55854</v>
      </c>
      <c r="I29" s="26">
        <f t="shared" si="1"/>
        <v>57542.60854</v>
      </c>
    </row>
    <row r="30">
      <c r="A30" s="27" t="s">
        <v>2064</v>
      </c>
      <c r="B30" s="22" t="str">
        <f>VLOOKUP(A30,'Rendimientos V03'!$A$3:$F$1348,6,FALSE)</f>
        <v>Albañilería</v>
      </c>
      <c r="D30" s="22" t="str">
        <f>VLOOKUP(A30,'Rendimientos V03'!$A$3:$F$1348,2,FALSE)</f>
        <v>m2</v>
      </c>
      <c r="E30" s="26">
        <f>IFERROR(VLOOKUP(A30,RELACIONES!$G$2:$I$55,3,FALSE),0)</f>
        <v>52209.47</v>
      </c>
      <c r="F30" s="26">
        <f>IFERROR(SUMIF('Rendimientos V03'!$A$3:$A$348,A30,'Rendimientos V03'!$K$3:$K$348),0)</f>
        <v>13964.55854</v>
      </c>
      <c r="I30" s="26">
        <f t="shared" si="1"/>
        <v>66174.02854</v>
      </c>
    </row>
    <row r="31">
      <c r="A31" s="27" t="s">
        <v>2065</v>
      </c>
      <c r="B31" s="22" t="str">
        <f>VLOOKUP(A31,'Rendimientos V03'!$A$3:$F$1348,6,FALSE)</f>
        <v>Albañilería</v>
      </c>
      <c r="D31" s="22" t="str">
        <f>VLOOKUP(A31,'Rendimientos V03'!$A$3:$F$1348,2,FALSE)</f>
        <v>m2</v>
      </c>
      <c r="E31" s="26">
        <f>IFERROR(VLOOKUP(A31,RELACIONES!$G$2:$I$55,3,FALSE),0)</f>
        <v>52209.47</v>
      </c>
      <c r="F31" s="26">
        <f>IFERROR(SUMIF('Rendimientos V03'!$A$3:$A$348,A31,'Rendimientos V03'!$K$3:$K$348),0)</f>
        <v>13964.55854</v>
      </c>
      <c r="I31" s="26">
        <f t="shared" si="1"/>
        <v>66174.02854</v>
      </c>
    </row>
    <row r="32">
      <c r="A32" s="27" t="s">
        <v>2066</v>
      </c>
      <c r="B32" s="22" t="str">
        <f>VLOOKUP(A32,'Rendimientos V03'!$A$3:$F$1348,6,FALSE)</f>
        <v>C. Seco</v>
      </c>
      <c r="D32" s="22" t="str">
        <f>VLOOKUP(A32,'Rendimientos V03'!$A$3:$F$1348,2,FALSE)</f>
        <v>m2</v>
      </c>
      <c r="E32" s="26">
        <f>IFERROR(VLOOKUP(A32,RELACIONES!$G$2:$I$55,3,FALSE),0)</f>
        <v>28149.49</v>
      </c>
      <c r="F32" s="26">
        <f>IFERROR(SUMIF('Rendimientos V03'!$A$3:$A$348,A32,'Rendimientos V03'!$K$3:$K$348),0)</f>
        <v>21279.78112</v>
      </c>
      <c r="I32" s="26">
        <f t="shared" si="1"/>
        <v>49429.27112</v>
      </c>
    </row>
    <row r="33">
      <c r="A33" s="27" t="s">
        <v>2067</v>
      </c>
      <c r="B33" s="22" t="str">
        <f>VLOOKUP(A33,'Rendimientos V03'!$A$3:$F$1348,6,FALSE)</f>
        <v>C. Seco</v>
      </c>
      <c r="D33" s="22" t="str">
        <f>VLOOKUP(A33,'Rendimientos V03'!$A$3:$F$1348,2,FALSE)</f>
        <v>m2</v>
      </c>
      <c r="E33" s="26">
        <f>IFERROR(VLOOKUP(A33,RELACIONES!$G$2:$I$55,3,FALSE),0)</f>
        <v>29429.01</v>
      </c>
      <c r="F33" s="26">
        <f>IFERROR(SUMIF('Rendimientos V03'!$A$3:$A$348,A33,'Rendimientos V03'!$K$3:$K$348),0)</f>
        <v>47771.00812</v>
      </c>
      <c r="I33" s="26">
        <f t="shared" si="1"/>
        <v>77200.01812</v>
      </c>
    </row>
    <row r="34">
      <c r="A34" s="27" t="s">
        <v>2068</v>
      </c>
      <c r="B34" s="22" t="str">
        <f>VLOOKUP(A34,'Rendimientos V03'!$A$3:$F$1348,6,FALSE)</f>
        <v>C. Seco</v>
      </c>
      <c r="D34" s="22" t="str">
        <f>VLOOKUP(A34,'Rendimientos V03'!$A$3:$F$1348,2,FALSE)</f>
        <v>m2</v>
      </c>
      <c r="E34" s="26">
        <f>IFERROR(VLOOKUP(A34,RELACIONES!$G$2:$I$55,3,FALSE),0)</f>
        <v>29429.01</v>
      </c>
      <c r="F34" s="26">
        <f>IFERROR(SUMIF('Rendimientos V03'!$A$3:$A$348,A34,'Rendimientos V03'!$K$3:$K$348),0)</f>
        <v>72269.26437</v>
      </c>
      <c r="I34" s="26">
        <f t="shared" si="1"/>
        <v>101698.2744</v>
      </c>
    </row>
    <row r="35">
      <c r="A35" s="27" t="s">
        <v>2069</v>
      </c>
      <c r="B35" s="22" t="str">
        <f>VLOOKUP(A35,'Rendimientos V03'!$A$3:$F$1348,6,FALSE)</f>
        <v>C. Seco</v>
      </c>
      <c r="D35" s="22" t="str">
        <f>VLOOKUP(A35,'Rendimientos V03'!$A$3:$F$1348,2,FALSE)</f>
        <v>m2</v>
      </c>
      <c r="E35" s="26">
        <f>IFERROR(VLOOKUP(A35,RELACIONES!$G$2:$I$55,3,FALSE),0)</f>
        <v>29429.01</v>
      </c>
      <c r="F35" s="26">
        <f>IFERROR(SUMIF('Rendimientos V03'!$A$3:$A$348,A35,'Rendimientos V03'!$K$3:$K$348),0)</f>
        <v>66319.26437</v>
      </c>
      <c r="I35" s="26">
        <f t="shared" si="1"/>
        <v>95748.27437</v>
      </c>
    </row>
    <row r="36">
      <c r="A36" s="27" t="s">
        <v>2070</v>
      </c>
      <c r="B36" s="22" t="str">
        <f>VLOOKUP(A36,'Rendimientos V03'!$A$3:$F$1348,6,FALSE)</f>
        <v>C. Seco</v>
      </c>
      <c r="D36" s="22" t="str">
        <f>VLOOKUP(A36,'Rendimientos V03'!$A$3:$F$1348,2,FALSE)</f>
        <v>m2</v>
      </c>
      <c r="E36" s="26">
        <f>IFERROR(VLOOKUP(A36,RELACIONES!$G$2:$I$55,3,FALSE),0)</f>
        <v>25078.64</v>
      </c>
      <c r="F36" s="26">
        <f>IFERROR(SUMIF('Rendimientos V03'!$A$3:$A$348,A36,'Rendimientos V03'!$K$3:$K$348),0)</f>
        <v>18037.15497</v>
      </c>
      <c r="I36" s="26">
        <f t="shared" si="1"/>
        <v>43115.79497</v>
      </c>
    </row>
    <row r="37">
      <c r="A37" s="27" t="s">
        <v>2071</v>
      </c>
      <c r="B37" s="22" t="str">
        <f>VLOOKUP(A37,'Rendimientos V03'!$A$3:$F$1348,6,FALSE)</f>
        <v>C. Seco</v>
      </c>
      <c r="D37" s="22" t="str">
        <f>VLOOKUP(A37,'Rendimientos V03'!$A$3:$F$1348,2,FALSE)</f>
        <v>m2</v>
      </c>
      <c r="E37" s="26">
        <f>IFERROR(VLOOKUP(A37,RELACIONES!$G$2:$I$55,3,FALSE),0)</f>
        <v>25078.64</v>
      </c>
      <c r="F37" s="26">
        <f>IFERROR(SUMIF('Rendimientos V03'!$A$3:$A$348,A37,'Rendimientos V03'!$K$3:$K$348),0)</f>
        <v>44528.38197</v>
      </c>
      <c r="I37" s="26">
        <f t="shared" si="1"/>
        <v>69607.02197</v>
      </c>
    </row>
    <row r="38">
      <c r="A38" s="27" t="s">
        <v>2072</v>
      </c>
      <c r="B38" s="22" t="str">
        <f>VLOOKUP(A38,'Rendimientos V03'!$A$3:$F$1348,6,FALSE)</f>
        <v>Pintura</v>
      </c>
      <c r="D38" s="22" t="str">
        <f>VLOOKUP(A38,'Rendimientos V03'!$A$3:$F$1348,2,FALSE)</f>
        <v>m2</v>
      </c>
      <c r="E38" s="26">
        <f>IFERROR(VLOOKUP(A38,RELACIONES!$G$2:$I$55,3,FALSE),0)</f>
        <v>12800.17</v>
      </c>
      <c r="F38" s="26">
        <f>IFERROR(SUMIF('Rendimientos V03'!$A$3:$A$348,A38,'Rendimientos V03'!$K$3:$K$348),0)</f>
        <v>5731.000103</v>
      </c>
      <c r="I38" s="26">
        <f t="shared" si="1"/>
        <v>18531.1701</v>
      </c>
    </row>
    <row r="39">
      <c r="A39" s="27" t="s">
        <v>2073</v>
      </c>
      <c r="B39" s="22" t="str">
        <f>VLOOKUP(A39,'Rendimientos V03'!$A$3:$F$1348,6,FALSE)</f>
        <v>Pintura</v>
      </c>
      <c r="D39" s="22" t="str">
        <f>VLOOKUP(A39,'Rendimientos V03'!$A$3:$F$1348,2,FALSE)</f>
        <v>m2</v>
      </c>
      <c r="E39" s="26">
        <f>IFERROR(VLOOKUP(A39,RELACIONES!$G$2:$I$55,3,FALSE),0)</f>
        <v>12800.17</v>
      </c>
      <c r="F39" s="26">
        <f>IFERROR(SUMIF('Rendimientos V03'!$A$3:$A$348,A39,'Rendimientos V03'!$K$3:$K$348),0)</f>
        <v>5390.25487</v>
      </c>
      <c r="I39" s="26">
        <f t="shared" si="1"/>
        <v>18190.42487</v>
      </c>
    </row>
    <row r="40">
      <c r="A40" s="27" t="s">
        <v>2074</v>
      </c>
      <c r="B40" s="22" t="str">
        <f>VLOOKUP(A40,'Rendimientos V03'!$A$3:$F$1348,6,FALSE)</f>
        <v>Pintura</v>
      </c>
      <c r="D40" s="22" t="str">
        <f>VLOOKUP(A40,'Rendimientos V03'!$A$3:$F$1348,2,FALSE)</f>
        <v>m2</v>
      </c>
      <c r="E40" s="26">
        <f>IFERROR(VLOOKUP(A40,RELACIONES!$G$2:$I$55,3,FALSE),0)</f>
        <v>12800.17</v>
      </c>
      <c r="F40" s="26">
        <f>IFERROR(SUMIF('Rendimientos V03'!$A$3:$A$348,A40,'Rendimientos V03'!$K$3:$K$348),0)</f>
        <v>5563.588203</v>
      </c>
      <c r="I40" s="26">
        <f t="shared" si="1"/>
        <v>18363.7582</v>
      </c>
    </row>
    <row r="41">
      <c r="A41" s="27" t="s">
        <v>2075</v>
      </c>
      <c r="B41" s="22" t="str">
        <f>VLOOKUP(A41,'Rendimientos V03'!$A$3:$F$1348,6,FALSE)</f>
        <v>Pintura</v>
      </c>
      <c r="D41" s="22" t="str">
        <f>VLOOKUP(A41,'Rendimientos V03'!$A$3:$F$1348,2,FALSE)</f>
        <v>m2</v>
      </c>
      <c r="E41" s="26">
        <f>IFERROR(VLOOKUP(A41,RELACIONES!$G$2:$I$55,3,FALSE),0)</f>
        <v>13824.17</v>
      </c>
      <c r="F41" s="26">
        <f>IFERROR(SUMIF('Rendimientos V03'!$A$3:$A$348,A41,'Rendimientos V03'!$K$3:$K$348),0)</f>
        <v>7115.788953</v>
      </c>
      <c r="I41" s="26">
        <f t="shared" si="1"/>
        <v>20939.95895</v>
      </c>
    </row>
    <row r="42">
      <c r="A42" s="27" t="s">
        <v>2076</v>
      </c>
      <c r="B42" s="22" t="str">
        <f>VLOOKUP(A42,'Rendimientos V03'!$A$3:$F$1348,6,FALSE)</f>
        <v>Pintura</v>
      </c>
      <c r="D42" s="22" t="str">
        <f>VLOOKUP(A42,'Rendimientos V03'!$A$3:$F$1348,2,FALSE)</f>
        <v>m2</v>
      </c>
      <c r="E42" s="26">
        <f>IFERROR(VLOOKUP(A42,RELACIONES!$G$2:$I$55,3,FALSE),0)</f>
        <v>13824.17</v>
      </c>
      <c r="F42" s="26">
        <f>IFERROR(SUMIF('Rendimientos V03'!$A$3:$A$348,A42,'Rendimientos V03'!$K$3:$K$348),0)</f>
        <v>7115.788953</v>
      </c>
      <c r="I42" s="26">
        <f t="shared" si="1"/>
        <v>20939.95895</v>
      </c>
    </row>
    <row r="43">
      <c r="A43" s="27" t="s">
        <v>2077</v>
      </c>
      <c r="B43" s="22" t="str">
        <f>VLOOKUP(A43,'Rendimientos V03'!$A$3:$F$1348,6,FALSE)</f>
        <v>Pintura</v>
      </c>
      <c r="D43" s="22" t="str">
        <f>VLOOKUP(A43,'Rendimientos V03'!$A$3:$F$1348,2,FALSE)</f>
        <v>m2</v>
      </c>
      <c r="E43" s="26">
        <f>IFERROR(VLOOKUP(A43,RELACIONES!$G$2:$I$55,3,FALSE),0)</f>
        <v>20480.23</v>
      </c>
      <c r="F43" s="26">
        <f>IFERROR(SUMIF('Rendimientos V03'!$A$3:$A$348,A43,'Rendimientos V03'!$K$3:$K$348),0)</f>
        <v>7305.723233</v>
      </c>
      <c r="I43" s="26">
        <f t="shared" si="1"/>
        <v>27785.95323</v>
      </c>
    </row>
    <row r="44">
      <c r="A44" s="27" t="s">
        <v>2078</v>
      </c>
      <c r="B44" s="22" t="str">
        <f>VLOOKUP(A44,'Rendimientos V03'!$A$3:$F$1348,6,FALSE)</f>
        <v>Pintura</v>
      </c>
      <c r="D44" s="22" t="str">
        <f>VLOOKUP(A44,'Rendimientos V03'!$A$3:$F$1348,2,FALSE)</f>
        <v>m2</v>
      </c>
      <c r="E44" s="26">
        <f>IFERROR(VLOOKUP(A44,RELACIONES!$G$2:$I$55,3,FALSE),0)</f>
        <v>20480.23</v>
      </c>
      <c r="F44" s="26">
        <f>IFERROR(SUMIF('Rendimientos V03'!$A$3:$A$348,A44,'Rendimientos V03'!$K$3:$K$348),0)</f>
        <v>9328.380233</v>
      </c>
      <c r="I44" s="26">
        <f t="shared" si="1"/>
        <v>29808.61023</v>
      </c>
    </row>
    <row r="45">
      <c r="A45" s="27" t="s">
        <v>2079</v>
      </c>
      <c r="B45" s="22" t="str">
        <f>VLOOKUP(A45,'Rendimientos V03'!$A$3:$F$1348,6,FALSE)</f>
        <v>Pintura</v>
      </c>
      <c r="D45" s="22" t="str">
        <f>VLOOKUP(A45,'Rendimientos V03'!$A$3:$F$1348,2,FALSE)</f>
        <v>m2</v>
      </c>
      <c r="E45" s="26">
        <f>IFERROR(VLOOKUP(A45,RELACIONES!$G$2:$I$55,3,FALSE),0)</f>
        <v>20480.23</v>
      </c>
      <c r="F45" s="26">
        <f>IFERROR(SUMIF('Rendimientos V03'!$A$3:$A$348,A45,'Rendimientos V03'!$K$3:$K$348),0)</f>
        <v>7065.425383</v>
      </c>
      <c r="I45" s="26">
        <f t="shared" si="1"/>
        <v>27545.65538</v>
      </c>
    </row>
    <row r="46">
      <c r="A46" s="27" t="s">
        <v>2080</v>
      </c>
      <c r="B46" s="22" t="str">
        <f>VLOOKUP(A46,'Rendimientos V03'!$A$3:$F$1348,6,FALSE)</f>
        <v>Pintura</v>
      </c>
      <c r="D46" s="22" t="str">
        <f>VLOOKUP(A46,'Rendimientos V03'!$A$3:$F$1348,2,FALSE)</f>
        <v>m2</v>
      </c>
      <c r="E46" s="26">
        <f>IFERROR(VLOOKUP(A46,RELACIONES!$G$2:$I$55,3,FALSE),0)</f>
        <v>20480.23</v>
      </c>
      <c r="F46" s="26">
        <f>IFERROR(SUMIF('Rendimientos V03'!$A$3:$A$348,A46,'Rendimientos V03'!$K$3:$K$348),0)</f>
        <v>9088.082383</v>
      </c>
      <c r="I46" s="26">
        <f t="shared" si="1"/>
        <v>29568.31238</v>
      </c>
    </row>
    <row r="47">
      <c r="A47" s="27" t="s">
        <v>2081</v>
      </c>
      <c r="B47" s="22" t="str">
        <f>VLOOKUP(A47,'Rendimientos V03'!$A$3:$F$1348,6,FALSE)</f>
        <v>Pintura</v>
      </c>
      <c r="D47" s="22" t="str">
        <f>VLOOKUP(A47,'Rendimientos V03'!$A$3:$F$1348,2,FALSE)</f>
        <v>m2</v>
      </c>
      <c r="E47" s="26">
        <f>IFERROR(VLOOKUP(A47,RELACIONES!$G$2:$I$55,3,FALSE),0)</f>
        <v>20480.23</v>
      </c>
      <c r="F47" s="26">
        <f>IFERROR(SUMIF('Rendimientos V03'!$A$3:$A$348,A47,'Rendimientos V03'!$K$3:$K$348),0)</f>
        <v>8273.623983</v>
      </c>
      <c r="I47" s="26">
        <f t="shared" si="1"/>
        <v>28753.85398</v>
      </c>
    </row>
    <row r="48">
      <c r="A48" s="27" t="s">
        <v>2082</v>
      </c>
      <c r="B48" s="22" t="str">
        <f>VLOOKUP(A48,'Rendimientos V03'!$A$3:$F$1348,6,FALSE)</f>
        <v>Pintura</v>
      </c>
      <c r="D48" s="22" t="str">
        <f>VLOOKUP(A48,'Rendimientos V03'!$A$3:$F$1348,2,FALSE)</f>
        <v>m2</v>
      </c>
      <c r="E48" s="26">
        <f>IFERROR(VLOOKUP(A48,RELACIONES!$G$2:$I$55,3,FALSE),0)</f>
        <v>20480.23</v>
      </c>
      <c r="F48" s="26">
        <f>IFERROR(SUMIF('Rendimientos V03'!$A$3:$A$348,A48,'Rendimientos V03'!$K$3:$K$348),0)</f>
        <v>10296.28098</v>
      </c>
      <c r="I48" s="26">
        <f t="shared" si="1"/>
        <v>30776.51098</v>
      </c>
    </row>
    <row r="49">
      <c r="A49" s="25" t="s">
        <v>2083</v>
      </c>
      <c r="B49" s="22" t="str">
        <f>VLOOKUP(A49,'Rendimientos V03'!$A$3:$F$1348,6,FALSE)</f>
        <v>Pintura</v>
      </c>
      <c r="D49" s="22" t="str">
        <f>VLOOKUP(A49,'Rendimientos V03'!$A$3:$F$1348,2,FALSE)</f>
        <v>m2</v>
      </c>
      <c r="E49" s="26">
        <f>IFERROR(VLOOKUP(A49,RELACIONES!$G$2:$I$55,3,FALSE),0)</f>
        <v>16153.96</v>
      </c>
      <c r="F49" s="26">
        <f>IFERROR(SUMIF('Rendimientos V03'!$A$3:$A$348,A49,'Rendimientos V03'!$K$3:$K$348),0)</f>
        <v>4962.017783</v>
      </c>
      <c r="I49" s="26">
        <f t="shared" si="1"/>
        <v>21115.97778</v>
      </c>
    </row>
    <row r="50">
      <c r="A50" s="27" t="s">
        <v>2084</v>
      </c>
      <c r="B50" s="22" t="str">
        <f>VLOOKUP(A50,'Rendimientos V03'!$A$3:$F$1348,6,FALSE)</f>
        <v>Pintura</v>
      </c>
      <c r="D50" s="22" t="str">
        <f>VLOOKUP(A50,'Rendimientos V03'!$A$3:$F$1348,2,FALSE)</f>
        <v>m2</v>
      </c>
      <c r="E50" s="26">
        <f>IFERROR(VLOOKUP(A50,RELACIONES!$G$2:$I$55,3,FALSE),0)</f>
        <v>21124.42</v>
      </c>
      <c r="F50" s="26">
        <f>IFERROR(SUMIF('Rendimientos V03'!$A$3:$A$348,A50,'Rendimientos V03'!$K$3:$K$348),0)</f>
        <v>6683.885733</v>
      </c>
      <c r="I50" s="26">
        <f t="shared" si="1"/>
        <v>27808.30573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2.0"/>
    <col customWidth="1" min="2" max="2" width="10.0"/>
    <col customWidth="1" min="3" max="3" width="38.0"/>
    <col customWidth="1" min="4" max="4" width="11.0"/>
    <col customWidth="1" min="5" max="5" width="13.0"/>
    <col customWidth="1" min="6" max="6" width="14.0"/>
    <col customWidth="1" min="7" max="8" width="16.0"/>
    <col customWidth="1" min="9" max="9" width="21.29"/>
    <col customWidth="1" min="10" max="11" width="20.29"/>
    <col customWidth="1" min="12" max="25" width="8.71"/>
  </cols>
  <sheetData>
    <row r="2">
      <c r="A2" s="28" t="s">
        <v>2085</v>
      </c>
      <c r="B2" s="29" t="s">
        <v>2031</v>
      </c>
      <c r="C2" s="28" t="s">
        <v>2086</v>
      </c>
      <c r="D2" s="28" t="s">
        <v>2087</v>
      </c>
      <c r="E2" s="28" t="s">
        <v>2088</v>
      </c>
      <c r="F2" s="28" t="s">
        <v>2089</v>
      </c>
      <c r="G2" s="28" t="s">
        <v>2090</v>
      </c>
      <c r="H2" s="28" t="s">
        <v>2091</v>
      </c>
      <c r="I2" s="29" t="s">
        <v>2092</v>
      </c>
      <c r="J2" s="29" t="s">
        <v>2093</v>
      </c>
      <c r="K2" s="29" t="s">
        <v>2094</v>
      </c>
    </row>
    <row r="3" ht="15.75" customHeight="1">
      <c r="A3" s="30" t="s">
        <v>2037</v>
      </c>
      <c r="B3" s="31" t="s">
        <v>2095</v>
      </c>
      <c r="C3" s="30" t="s">
        <v>2096</v>
      </c>
      <c r="D3" s="31" t="s">
        <v>2097</v>
      </c>
      <c r="E3" s="32"/>
      <c r="F3" s="31" t="s">
        <v>2098</v>
      </c>
      <c r="G3" s="33"/>
      <c r="H3" s="33"/>
      <c r="I3" s="34" t="str">
        <f>IF(ISBLANK(A3),"",VLOOKUP(A3,RELACIONES!$G$3:$H$65,2,FALSE()))</f>
        <v>Demoliciones Picado de revestimiento</v>
      </c>
      <c r="J3" s="35" t="str">
        <f>IF(ISBLANK(A3),"",VLOOKUP(C3,RELACIONES!$A$3:$B$70,2,FALSE))</f>
        <v>#N/A</v>
      </c>
      <c r="K3" s="35" t="str">
        <f>IF(ISBLANK(A3),"",VLOOKUP(J3,RELACIONES!$B$3:$E$83,4,FALSE)*E3)</f>
        <v>#N/A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15.75" customHeight="1">
      <c r="A4" s="36"/>
      <c r="B4" s="36"/>
      <c r="C4" s="36"/>
      <c r="D4" s="36"/>
      <c r="E4" s="37"/>
      <c r="F4" s="36"/>
      <c r="G4" s="36"/>
      <c r="H4" s="36"/>
      <c r="I4" s="34" t="str">
        <f>IF(ISBLANK(A4),"",VLOOKUP(A4,RELACIONES!$G$3:$H$65,2,FALSE()))</f>
        <v/>
      </c>
      <c r="J4" s="35" t="str">
        <f>IF(ISBLANK(A4),"",VLOOKUP(C4,RELACIONES!$A$3:$B$70,2,FALSE))</f>
        <v/>
      </c>
      <c r="K4" s="35" t="str">
        <f>IF(ISBLANK(A4),"",VLOOKUP(J4,RELACIONES!$B$3:$E$83,4,FALSE)*E4)</f>
        <v/>
      </c>
    </row>
    <row r="5" ht="15.75" customHeight="1">
      <c r="A5" s="30" t="s">
        <v>2038</v>
      </c>
      <c r="B5" s="31" t="s">
        <v>2095</v>
      </c>
      <c r="C5" s="30" t="s">
        <v>2096</v>
      </c>
      <c r="D5" s="31" t="s">
        <v>2097</v>
      </c>
      <c r="E5" s="32"/>
      <c r="F5" s="31" t="s">
        <v>2098</v>
      </c>
      <c r="G5" s="33"/>
      <c r="H5" s="33"/>
      <c r="I5" s="34" t="str">
        <f>IF(ISBLANK(A5),"",VLOOKUP(A5,RELACIONES!$G$3:$H$65,2,FALSE()))</f>
        <v>Demoliciones De pisos</v>
      </c>
      <c r="J5" s="35" t="str">
        <f>IF(ISBLANK(A5),"",VLOOKUP(C5,RELACIONES!$A$3:$B$70,2,FALSE))</f>
        <v>#N/A</v>
      </c>
      <c r="K5" s="35" t="str">
        <f>IF(ISBLANK(A5),"",VLOOKUP(J5,RELACIONES!$B$3:$E$83,4,FALSE)*E5)</f>
        <v>#N/A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15.75" customHeight="1">
      <c r="A6" s="36"/>
      <c r="B6" s="36"/>
      <c r="C6" s="36"/>
      <c r="D6" s="36"/>
      <c r="E6" s="37"/>
      <c r="F6" s="36"/>
      <c r="G6" s="36"/>
      <c r="H6" s="36"/>
      <c r="I6" s="34" t="str">
        <f>IF(ISBLANK(A6),"",VLOOKUP(A6,RELACIONES!$G$3:$H$65,2,FALSE()))</f>
        <v/>
      </c>
      <c r="J6" s="35" t="str">
        <f>IF(ISBLANK(A6),"",VLOOKUP(C6,RELACIONES!$A$3:$B$70,2,FALSE))</f>
        <v/>
      </c>
      <c r="K6" s="35" t="str">
        <f>IF(ISBLANK(A6),"",VLOOKUP(J6,RELACIONES!$B$3:$E$83,4,FALSE)*E6)</f>
        <v/>
      </c>
    </row>
    <row r="7" ht="15.75" customHeight="1">
      <c r="A7" s="30" t="s">
        <v>2039</v>
      </c>
      <c r="B7" s="31" t="s">
        <v>2095</v>
      </c>
      <c r="C7" s="30" t="s">
        <v>2099</v>
      </c>
      <c r="D7" s="31" t="s">
        <v>2097</v>
      </c>
      <c r="E7" s="32"/>
      <c r="F7" s="31" t="s">
        <v>2098</v>
      </c>
      <c r="G7" s="33"/>
      <c r="H7" s="33"/>
      <c r="I7" s="34" t="str">
        <f>IF(ISBLANK(A7),"",VLOOKUP(A7,RELACIONES!$G$3:$H$65,2,FALSE()))</f>
        <v>Demoliciones Picado de revoques</v>
      </c>
      <c r="J7" s="35" t="str">
        <f>IF(ISBLANK(A7),"",VLOOKUP(C7,RELACIONES!$A$3:$B$70,2,FALSE))</f>
        <v>#N/A</v>
      </c>
      <c r="K7" s="35" t="str">
        <f>IF(ISBLANK(A7),"",VLOOKUP(J7,RELACIONES!$B$3:$E$83,4,FALSE)*E7)</f>
        <v>#N/A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15.75" customHeight="1">
      <c r="A8" s="36"/>
      <c r="B8" s="36"/>
      <c r="C8" s="36"/>
      <c r="D8" s="36"/>
      <c r="E8" s="37"/>
      <c r="F8" s="36"/>
      <c r="G8" s="36"/>
      <c r="H8" s="36"/>
      <c r="I8" s="34" t="str">
        <f>IF(ISBLANK(A8),"",VLOOKUP(A8,RELACIONES!$G$3:$H$65,2,FALSE()))</f>
        <v/>
      </c>
      <c r="J8" s="35" t="str">
        <f>IF(ISBLANK(A8),"",VLOOKUP(C8,RELACIONES!$A$3:$B$70,2,FALSE))</f>
        <v/>
      </c>
      <c r="K8" s="35" t="str">
        <f>IF(ISBLANK(A8),"",VLOOKUP(J8,RELACIONES!$B$3:$E$83,4,FALSE)*E8)</f>
        <v/>
      </c>
    </row>
    <row r="9" ht="15.75" customHeight="1">
      <c r="A9" s="30" t="s">
        <v>2040</v>
      </c>
      <c r="B9" s="31" t="s">
        <v>2095</v>
      </c>
      <c r="C9" s="30" t="s">
        <v>2100</v>
      </c>
      <c r="D9" s="31" t="s">
        <v>2097</v>
      </c>
      <c r="E9" s="38">
        <v>1.0</v>
      </c>
      <c r="F9" s="31" t="s">
        <v>2098</v>
      </c>
      <c r="G9" s="33"/>
      <c r="H9" s="33"/>
      <c r="I9" s="34" t="str">
        <f>IF(ISBLANK(A9),"",VLOOKUP(A9,RELACIONES!$G$3:$H$65,2,FALSE()))</f>
        <v>Demoliciones De mamposterías</v>
      </c>
      <c r="J9" s="35" t="str">
        <f>IF(ISBLANK(A9),"",VLOOKUP(C9,RELACIONES!$A$3:$B$70,2,FALSE))</f>
        <v>#N/A</v>
      </c>
      <c r="K9" s="35" t="str">
        <f>IF(ISBLANK(A9),"",VLOOKUP(J9,RELACIONES!$B$3:$E$83,4,FALSE)*E9)</f>
        <v>#N/A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15.75" customHeight="1">
      <c r="A10" s="36"/>
      <c r="B10" s="36"/>
      <c r="C10" s="36"/>
      <c r="D10" s="36"/>
      <c r="E10" s="37"/>
      <c r="F10" s="36"/>
      <c r="G10" s="36"/>
      <c r="H10" s="36"/>
      <c r="I10" s="34" t="str">
        <f>IF(ISBLANK(A10),"",VLOOKUP(A10,RELACIONES!$G$3:$H$65,2,FALSE()))</f>
        <v/>
      </c>
      <c r="J10" s="35" t="str">
        <f>IF(ISBLANK(A10),"",VLOOKUP(C10,RELACIONES!$A$3:$B$70,2,FALSE))</f>
        <v/>
      </c>
      <c r="K10" s="35" t="str">
        <f>IF(ISBLANK(A10),"",VLOOKUP(J10,RELACIONES!$B$3:$E$83,4,FALSE)*E10)</f>
        <v/>
      </c>
    </row>
    <row r="11" ht="15.75" customHeight="1">
      <c r="A11" s="39" t="s">
        <v>2041</v>
      </c>
      <c r="B11" s="31" t="s">
        <v>2095</v>
      </c>
      <c r="C11" s="39" t="s">
        <v>2101</v>
      </c>
      <c r="D11" s="33" t="s">
        <v>2097</v>
      </c>
      <c r="E11" s="32">
        <v>15.2</v>
      </c>
      <c r="F11" s="33" t="s">
        <v>2102</v>
      </c>
      <c r="G11" s="33" t="s">
        <v>2103</v>
      </c>
      <c r="H11" s="33" t="s">
        <v>2104</v>
      </c>
      <c r="I11" s="34" t="str">
        <f>IF(ISBLANK(A11),"",VLOOKUP(A11,RELACIONES!$G$3:$H$65,2,FALSE()))</f>
        <v>Mampostería de elevación con cemento tradicional Ladrillos huecos 08x18x33</v>
      </c>
      <c r="J11" s="35" t="str">
        <f>IF(ISBLANK(A11),"",VLOOKUP(C11,RELACIONES!$A$3:$B$70,2,FALSE))</f>
        <v>Ladrillo Hueco 8x18x33 Loimar</v>
      </c>
      <c r="K11" s="40">
        <f>IF(ISBLANK(A11),"",VLOOKUP(J11,RELACIONES!$B$3:$E$83,4,FALSE)*E11)</f>
        <v>11916.648</v>
      </c>
    </row>
    <row r="12" ht="15.75" customHeight="1">
      <c r="A12" s="39" t="s">
        <v>2041</v>
      </c>
      <c r="B12" s="31" t="s">
        <v>2095</v>
      </c>
      <c r="C12" s="39" t="s">
        <v>2105</v>
      </c>
      <c r="D12" s="33" t="s">
        <v>2106</v>
      </c>
      <c r="E12" s="32">
        <v>0.99</v>
      </c>
      <c r="F12" s="33" t="s">
        <v>2102</v>
      </c>
      <c r="G12" s="33" t="s">
        <v>2103</v>
      </c>
      <c r="H12" s="33" t="s">
        <v>2104</v>
      </c>
      <c r="I12" s="34" t="str">
        <f>IF(ISBLANK(A12),"",VLOOKUP(A12,RELACIONES!$G$3:$H$65,2,FALSE()))</f>
        <v>Mampostería de elevación con cemento tradicional Ladrillos huecos 08x18x33</v>
      </c>
      <c r="J12" s="35" t="str">
        <f>IF(ISBLANK(A12),"",VLOOKUP(C12,RELACIONES!$A$3:$B$70,2,FALSE))</f>
        <v>Cemento Loma Negra</v>
      </c>
      <c r="K12" s="40">
        <f>IF(ISBLANK(A12),"",VLOOKUP(J12,RELACIONES!$B$3:$E$83,4,FALSE)*E12)</f>
        <v>309.7413</v>
      </c>
    </row>
    <row r="13" ht="15.75" customHeight="1">
      <c r="A13" s="39" t="s">
        <v>2041</v>
      </c>
      <c r="B13" s="31" t="s">
        <v>2095</v>
      </c>
      <c r="C13" s="39" t="s">
        <v>2107</v>
      </c>
      <c r="D13" s="33" t="s">
        <v>2108</v>
      </c>
      <c r="E13" s="32">
        <v>0.009</v>
      </c>
      <c r="F13" s="33" t="s">
        <v>2102</v>
      </c>
      <c r="G13" s="33" t="s">
        <v>2103</v>
      </c>
      <c r="H13" s="33" t="s">
        <v>2104</v>
      </c>
      <c r="I13" s="34" t="str">
        <f>IF(ISBLANK(A13),"",VLOOKUP(A13,RELACIONES!$G$3:$H$65,2,FALSE()))</f>
        <v>Mampostería de elevación con cemento tradicional Ladrillos huecos 08x18x33</v>
      </c>
      <c r="J13" s="35" t="str">
        <f>IF(ISBLANK(A13),"",VLOOKUP(C13,RELACIONES!$A$3:$B$70,2,FALSE))</f>
        <v>Arena fina</v>
      </c>
      <c r="K13" s="40">
        <f>IF(ISBLANK(A13),"",VLOOKUP(J13,RELACIONES!$B$3:$E$83,4,FALSE)*E13)</f>
        <v>490.06494</v>
      </c>
    </row>
    <row r="14" ht="15.75" customHeight="1">
      <c r="A14" s="39" t="s">
        <v>2041</v>
      </c>
      <c r="B14" s="31" t="s">
        <v>2095</v>
      </c>
      <c r="C14" s="39" t="s">
        <v>2109</v>
      </c>
      <c r="D14" s="33" t="s">
        <v>2106</v>
      </c>
      <c r="E14" s="32">
        <v>1.89</v>
      </c>
      <c r="F14" s="33" t="s">
        <v>2102</v>
      </c>
      <c r="G14" s="33" t="s">
        <v>2103</v>
      </c>
      <c r="H14" s="33" t="s">
        <v>2104</v>
      </c>
      <c r="I14" s="34" t="str">
        <f>IF(ISBLANK(A14),"",VLOOKUP(A14,RELACIONES!$G$3:$H$65,2,FALSE()))</f>
        <v>Mampostería de elevación con cemento tradicional Ladrillos huecos 08x18x33</v>
      </c>
      <c r="J14" s="35" t="str">
        <f>IF(ISBLANK(A14),"",VLOOKUP(C14,RELACIONES!$A$3:$B$70,2,FALSE))</f>
        <v>Cal Hidráulica, Hidralit Avellaneda</v>
      </c>
      <c r="K14" s="40">
        <f>IF(ISBLANK(A14),"",VLOOKUP(J14,RELACIONES!$B$3:$E$83,4,FALSE)*E14)</f>
        <v>785.7297</v>
      </c>
    </row>
    <row r="15" ht="15.75" customHeight="1">
      <c r="A15" s="39" t="s">
        <v>2041</v>
      </c>
      <c r="B15" s="31" t="s">
        <v>2095</v>
      </c>
      <c r="C15" s="39" t="s">
        <v>2110</v>
      </c>
      <c r="D15" s="33" t="s">
        <v>2111</v>
      </c>
      <c r="E15" s="32">
        <v>3.0</v>
      </c>
      <c r="F15" s="33" t="s">
        <v>2102</v>
      </c>
      <c r="G15" s="33" t="s">
        <v>2103</v>
      </c>
      <c r="H15" s="41" t="s">
        <v>2112</v>
      </c>
      <c r="I15" s="34" t="str">
        <f>IF(ISBLANK(A15),"",VLOOKUP(A15,RELACIONES!$G$3:$H$65,2,FALSE()))</f>
        <v>Mampostería de elevación con cemento tradicional Ladrillos huecos 08x18x33</v>
      </c>
      <c r="J15" s="35" t="str">
        <f>IF(ISBLANK(A15),"",VLOOKUP(C15,RELACIONES!$A$3:$B$70,2,FALSE))</f>
        <v>Hierro Torsionado del 6 mm</v>
      </c>
      <c r="K15" s="40">
        <f>IF(ISBLANK(A15),"",VLOOKUP(J15,RELACIONES!$B$3:$E$83,4,FALSE)*E15)</f>
        <v>28606.95</v>
      </c>
    </row>
    <row r="16" ht="15.75" customHeight="1">
      <c r="A16" s="39" t="s">
        <v>2041</v>
      </c>
      <c r="B16" s="31" t="s">
        <v>2095</v>
      </c>
      <c r="C16" s="39" t="s">
        <v>1432</v>
      </c>
      <c r="D16" s="33" t="s">
        <v>2097</v>
      </c>
      <c r="E16" s="32">
        <v>0.067</v>
      </c>
      <c r="F16" s="33" t="s">
        <v>2102</v>
      </c>
      <c r="G16" s="33" t="s">
        <v>2103</v>
      </c>
      <c r="H16" s="41" t="s">
        <v>2112</v>
      </c>
      <c r="I16" s="34" t="str">
        <f>IF(ISBLANK(A16),"",VLOOKUP(A16,RELACIONES!$G$3:$H$65,2,FALSE()))</f>
        <v>Mampostería de elevación con cemento tradicional Ladrillos huecos 08x18x33</v>
      </c>
      <c r="J16" s="35" t="str">
        <f>IF(ISBLANK(A16),"",VLOOKUP(C16,RELACIONES!$A$3:$B$70,2,FALSE))</f>
        <v>DISCO DE CORTE PARA MAMPOSTERÍA (U)</v>
      </c>
      <c r="K16" s="40">
        <f>IF(ISBLANK(A16),"",VLOOKUP(J16,RELACIONES!$B$3:$E$83,4,FALSE)*E16)</f>
        <v>268</v>
      </c>
    </row>
    <row r="17" ht="15.75" customHeight="1">
      <c r="A17" s="36"/>
      <c r="B17" s="36"/>
      <c r="C17" s="36"/>
      <c r="D17" s="36"/>
      <c r="E17" s="37"/>
      <c r="F17" s="36"/>
      <c r="G17" s="36"/>
      <c r="H17" s="36"/>
      <c r="I17" s="34" t="str">
        <f>IF(ISBLANK(A17),"",VLOOKUP(A17,RELACIONES!$G$3:$H$65,2,FALSE()))</f>
        <v/>
      </c>
      <c r="J17" s="35" t="str">
        <f>IF(ISBLANK(A17),"",VLOOKUP(C17,RELACIONES!$A$3:$B$70,2,FALSE))</f>
        <v/>
      </c>
      <c r="K17" s="35" t="str">
        <f>IF(ISBLANK(A17),"",VLOOKUP(J17,RELACIONES!$B$3:$E$83,4,FALSE)*E17)</f>
        <v/>
      </c>
    </row>
    <row r="18" ht="15.75" customHeight="1">
      <c r="A18" s="42" t="s">
        <v>2042</v>
      </c>
      <c r="B18" s="43" t="s">
        <v>2095</v>
      </c>
      <c r="C18" s="42" t="s">
        <v>2113</v>
      </c>
      <c r="D18" s="44" t="s">
        <v>2097</v>
      </c>
      <c r="E18" s="45">
        <v>15.2</v>
      </c>
      <c r="F18" s="44" t="s">
        <v>2102</v>
      </c>
      <c r="G18" s="44" t="s">
        <v>2103</v>
      </c>
      <c r="H18" s="44" t="s">
        <v>2104</v>
      </c>
      <c r="I18" s="34" t="str">
        <f>IF(ISBLANK(A18),"",VLOOKUP(A18,RELACIONES!$G$3:$H$65,2,FALSE()))</f>
        <v>Mampostería de elevación con cemento tradicional Ladrillos huecos 12x18x33</v>
      </c>
      <c r="J18" s="35" t="str">
        <f>IF(ISBLANK(A18),"",VLOOKUP(C18,RELACIONES!$A$3:$B$70,2,FALSE))</f>
        <v>Ladrillo Hueco 12x18x33 Loimar</v>
      </c>
      <c r="K18" s="40">
        <f>IF(ISBLANK(A18),"",VLOOKUP(J18,RELACIONES!$B$3:$E$83,4,FALSE)*E18)</f>
        <v>15605.08</v>
      </c>
    </row>
    <row r="19" ht="15.75" customHeight="1">
      <c r="A19" s="42" t="s">
        <v>2042</v>
      </c>
      <c r="B19" s="43" t="s">
        <v>2095</v>
      </c>
      <c r="C19" s="42" t="s">
        <v>2105</v>
      </c>
      <c r="D19" s="44" t="s">
        <v>2106</v>
      </c>
      <c r="E19" s="45">
        <v>1.48</v>
      </c>
      <c r="F19" s="44" t="s">
        <v>2102</v>
      </c>
      <c r="G19" s="44" t="s">
        <v>2103</v>
      </c>
      <c r="H19" s="44" t="s">
        <v>2104</v>
      </c>
      <c r="I19" s="34" t="str">
        <f>IF(ISBLANK(A19),"",VLOOKUP(A19,RELACIONES!$G$3:$H$65,2,FALSE()))</f>
        <v>Mampostería de elevación con cemento tradicional Ladrillos huecos 12x18x33</v>
      </c>
      <c r="J19" s="35" t="str">
        <f>IF(ISBLANK(A19),"",VLOOKUP(C19,RELACIONES!$A$3:$B$70,2,FALSE))</f>
        <v>Cemento Loma Negra</v>
      </c>
      <c r="K19" s="40">
        <f>IF(ISBLANK(A19),"",VLOOKUP(J19,RELACIONES!$B$3:$E$83,4,FALSE)*E19)</f>
        <v>463.0476</v>
      </c>
    </row>
    <row r="20" ht="15.75" customHeight="1">
      <c r="A20" s="42" t="s">
        <v>2042</v>
      </c>
      <c r="B20" s="43" t="s">
        <v>2095</v>
      </c>
      <c r="C20" s="42" t="s">
        <v>2107</v>
      </c>
      <c r="D20" s="44" t="s">
        <v>2108</v>
      </c>
      <c r="E20" s="45">
        <v>0.014</v>
      </c>
      <c r="F20" s="44" t="s">
        <v>2102</v>
      </c>
      <c r="G20" s="44" t="s">
        <v>2103</v>
      </c>
      <c r="H20" s="44" t="s">
        <v>2104</v>
      </c>
      <c r="I20" s="34" t="str">
        <f>IF(ISBLANK(A20),"",VLOOKUP(A20,RELACIONES!$G$3:$H$65,2,FALSE()))</f>
        <v>Mampostería de elevación con cemento tradicional Ladrillos huecos 12x18x33</v>
      </c>
      <c r="J20" s="35" t="str">
        <f>IF(ISBLANK(A20),"",VLOOKUP(C20,RELACIONES!$A$3:$B$70,2,FALSE))</f>
        <v>Arena fina</v>
      </c>
      <c r="K20" s="40">
        <f>IF(ISBLANK(A20),"",VLOOKUP(J20,RELACIONES!$B$3:$E$83,4,FALSE)*E20)</f>
        <v>762.32324</v>
      </c>
    </row>
    <row r="21" ht="15.75" customHeight="1">
      <c r="A21" s="42" t="s">
        <v>2042</v>
      </c>
      <c r="B21" s="43" t="s">
        <v>2095</v>
      </c>
      <c r="C21" s="42" t="s">
        <v>2109</v>
      </c>
      <c r="D21" s="44" t="s">
        <v>2106</v>
      </c>
      <c r="E21" s="45">
        <v>2.83</v>
      </c>
      <c r="F21" s="44" t="s">
        <v>2102</v>
      </c>
      <c r="G21" s="44" t="s">
        <v>2103</v>
      </c>
      <c r="H21" s="44" t="s">
        <v>2104</v>
      </c>
      <c r="I21" s="34" t="str">
        <f>IF(ISBLANK(A21),"",VLOOKUP(A21,RELACIONES!$G$3:$H$65,2,FALSE()))</f>
        <v>Mampostería de elevación con cemento tradicional Ladrillos huecos 12x18x33</v>
      </c>
      <c r="J21" s="35" t="str">
        <f>IF(ISBLANK(A21),"",VLOOKUP(C21,RELACIONES!$A$3:$B$70,2,FALSE))</f>
        <v>Cal Hidráulica, Hidralit Avellaneda</v>
      </c>
      <c r="K21" s="40">
        <f>IF(ISBLANK(A21),"",VLOOKUP(J21,RELACIONES!$B$3:$E$83,4,FALSE)*E21)</f>
        <v>1176.5159</v>
      </c>
    </row>
    <row r="22" ht="15.75" customHeight="1">
      <c r="A22" s="42" t="s">
        <v>2042</v>
      </c>
      <c r="B22" s="43" t="s">
        <v>2095</v>
      </c>
      <c r="C22" s="42" t="s">
        <v>2110</v>
      </c>
      <c r="D22" s="44" t="s">
        <v>2111</v>
      </c>
      <c r="E22" s="45">
        <v>3.0</v>
      </c>
      <c r="F22" s="44" t="s">
        <v>2102</v>
      </c>
      <c r="G22" s="44" t="s">
        <v>2103</v>
      </c>
      <c r="H22" s="46" t="s">
        <v>2112</v>
      </c>
      <c r="I22" s="34" t="str">
        <f>IF(ISBLANK(A22),"",VLOOKUP(A22,RELACIONES!$G$3:$H$65,2,FALSE()))</f>
        <v>Mampostería de elevación con cemento tradicional Ladrillos huecos 12x18x33</v>
      </c>
      <c r="J22" s="35" t="str">
        <f>IF(ISBLANK(A22),"",VLOOKUP(C22,RELACIONES!$A$3:$B$70,2,FALSE))</f>
        <v>Hierro Torsionado del 6 mm</v>
      </c>
      <c r="K22" s="40">
        <f>IF(ISBLANK(A22),"",VLOOKUP(J22,RELACIONES!$B$3:$E$83,4,FALSE)*E22)</f>
        <v>28606.95</v>
      </c>
    </row>
    <row r="23" ht="15.75" customHeight="1">
      <c r="A23" s="42" t="s">
        <v>2042</v>
      </c>
      <c r="B23" s="43" t="s">
        <v>2095</v>
      </c>
      <c r="C23" s="42" t="s">
        <v>1432</v>
      </c>
      <c r="D23" s="44" t="s">
        <v>2097</v>
      </c>
      <c r="E23" s="45">
        <v>0.067</v>
      </c>
      <c r="F23" s="44" t="s">
        <v>2102</v>
      </c>
      <c r="G23" s="44" t="s">
        <v>2103</v>
      </c>
      <c r="H23" s="46" t="s">
        <v>2112</v>
      </c>
      <c r="I23" s="34" t="str">
        <f>IF(ISBLANK(A23),"",VLOOKUP(A23,RELACIONES!$G$3:$H$65,2,FALSE()))</f>
        <v>Mampostería de elevación con cemento tradicional Ladrillos huecos 12x18x33</v>
      </c>
      <c r="J23" s="35" t="str">
        <f>IF(ISBLANK(A23),"",VLOOKUP(C23,RELACIONES!$A$3:$B$70,2,FALSE))</f>
        <v>DISCO DE CORTE PARA MAMPOSTERÍA (U)</v>
      </c>
      <c r="K23" s="40">
        <f>IF(ISBLANK(A23),"",VLOOKUP(J23,RELACIONES!$B$3:$E$83,4,FALSE)*E23)</f>
        <v>268</v>
      </c>
    </row>
    <row r="24" ht="15.75" customHeight="1">
      <c r="A24" s="36"/>
      <c r="B24" s="36"/>
      <c r="C24" s="36"/>
      <c r="D24" s="36"/>
      <c r="E24" s="37"/>
      <c r="F24" s="36"/>
      <c r="G24" s="36"/>
      <c r="H24" s="36"/>
      <c r="I24" s="34" t="str">
        <f>IF(ISBLANK(A24),"",VLOOKUP(A24,RELACIONES!$G$3:$H$65,2,FALSE()))</f>
        <v/>
      </c>
      <c r="J24" s="35" t="str">
        <f>IF(ISBLANK(A24),"",VLOOKUP(C24,RELACIONES!$A$3:$B$70,2,FALSE))</f>
        <v/>
      </c>
      <c r="K24" s="35" t="str">
        <f>IF(ISBLANK(A24),"",VLOOKUP(J24,RELACIONES!$B$3:$E$83,4,FALSE)*E24)</f>
        <v/>
      </c>
    </row>
    <row r="25" ht="15.75" customHeight="1">
      <c r="A25" s="36"/>
      <c r="B25" s="36"/>
      <c r="C25" s="36"/>
      <c r="D25" s="36"/>
      <c r="E25" s="37"/>
      <c r="F25" s="36"/>
      <c r="G25" s="36"/>
      <c r="H25" s="36"/>
      <c r="I25" s="34" t="str">
        <f>IF(ISBLANK(A25),"",VLOOKUP(A25,RELACIONES!$G$3:$H$65,2,FALSE()))</f>
        <v/>
      </c>
      <c r="J25" s="35" t="str">
        <f>IF(ISBLANK(A25),"",VLOOKUP(C25,RELACIONES!$A$3:$B$70,2,FALSE))</f>
        <v/>
      </c>
      <c r="K25" s="35" t="str">
        <f>IF(ISBLANK(A25),"",VLOOKUP(J25,RELACIONES!$B$3:$E$83,4,FALSE)*E25)</f>
        <v/>
      </c>
    </row>
    <row r="26" ht="15.75" customHeight="1">
      <c r="A26" s="42" t="s">
        <v>2043</v>
      </c>
      <c r="B26" s="43" t="s">
        <v>2095</v>
      </c>
      <c r="C26" s="42" t="s">
        <v>2105</v>
      </c>
      <c r="D26" s="44" t="s">
        <v>2106</v>
      </c>
      <c r="E26" s="45">
        <v>1.8</v>
      </c>
      <c r="F26" s="44" t="s">
        <v>2102</v>
      </c>
      <c r="G26" s="44" t="s">
        <v>1612</v>
      </c>
      <c r="H26" s="44" t="s">
        <v>2104</v>
      </c>
      <c r="I26" s="34" t="str">
        <f>IF(ISBLANK(A26),"",VLOOKUP(A26,RELACIONES!$G$3:$H$65,2,FALSE()))</f>
        <v>Contrapisos De cascotes s/ terreno natural. Esp: 10cm. (con cemento de albañilería)</v>
      </c>
      <c r="J26" s="35" t="str">
        <f>IF(ISBLANK(A26),"",VLOOKUP(C26,RELACIONES!$A$3:$B$70,2,FALSE))</f>
        <v>Cemento Loma Negra</v>
      </c>
      <c r="K26" s="40">
        <f>IF(ISBLANK(A26),"",VLOOKUP(J26,RELACIONES!$B$3:$E$83,4,FALSE)*E26)</f>
        <v>563.166</v>
      </c>
    </row>
    <row r="27" ht="15.75" customHeight="1">
      <c r="A27" s="42" t="s">
        <v>2043</v>
      </c>
      <c r="B27" s="43" t="s">
        <v>2095</v>
      </c>
      <c r="C27" s="42" t="s">
        <v>2107</v>
      </c>
      <c r="D27" s="44" t="s">
        <v>2108</v>
      </c>
      <c r="E27" s="45">
        <v>0.0425</v>
      </c>
      <c r="F27" s="44" t="s">
        <v>2102</v>
      </c>
      <c r="G27" s="44" t="s">
        <v>1612</v>
      </c>
      <c r="H27" s="44" t="s">
        <v>2104</v>
      </c>
      <c r="I27" s="34" t="str">
        <f>IF(ISBLANK(A27),"",VLOOKUP(A27,RELACIONES!$G$3:$H$65,2,FALSE()))</f>
        <v>Contrapisos De cascotes s/ terreno natural. Esp: 10cm. (con cemento de albañilería)</v>
      </c>
      <c r="J27" s="35" t="str">
        <f>IF(ISBLANK(A27),"",VLOOKUP(C27,RELACIONES!$A$3:$B$70,2,FALSE))</f>
        <v>Arena fina</v>
      </c>
      <c r="K27" s="40">
        <f>IF(ISBLANK(A27),"",VLOOKUP(J27,RELACIONES!$B$3:$E$83,4,FALSE)*E27)</f>
        <v>2314.19555</v>
      </c>
    </row>
    <row r="28" ht="15.75" customHeight="1">
      <c r="A28" s="42" t="s">
        <v>2043</v>
      </c>
      <c r="B28" s="43" t="s">
        <v>2095</v>
      </c>
      <c r="C28" s="42" t="s">
        <v>2109</v>
      </c>
      <c r="D28" s="44" t="s">
        <v>2106</v>
      </c>
      <c r="E28" s="45">
        <v>6.75</v>
      </c>
      <c r="F28" s="44" t="s">
        <v>2102</v>
      </c>
      <c r="G28" s="44" t="s">
        <v>1612</v>
      </c>
      <c r="H28" s="44" t="s">
        <v>2104</v>
      </c>
      <c r="I28" s="34" t="str">
        <f>IF(ISBLANK(A28),"",VLOOKUP(A28,RELACIONES!$G$3:$H$65,2,FALSE()))</f>
        <v>Contrapisos De cascotes s/ terreno natural. Esp: 10cm. (con cemento de albañilería)</v>
      </c>
      <c r="J28" s="35" t="str">
        <f>IF(ISBLANK(A28),"",VLOOKUP(C28,RELACIONES!$A$3:$B$70,2,FALSE))</f>
        <v>Cal Hidráulica, Hidralit Avellaneda</v>
      </c>
      <c r="K28" s="40">
        <f>IF(ISBLANK(A28),"",VLOOKUP(J28,RELACIONES!$B$3:$E$83,4,FALSE)*E28)</f>
        <v>2806.1775</v>
      </c>
    </row>
    <row r="29" ht="15.75" customHeight="1">
      <c r="A29" s="42" t="s">
        <v>2043</v>
      </c>
      <c r="B29" s="43" t="s">
        <v>2095</v>
      </c>
      <c r="C29" s="42" t="s">
        <v>1433</v>
      </c>
      <c r="D29" s="44" t="s">
        <v>2108</v>
      </c>
      <c r="E29" s="45">
        <v>0.085</v>
      </c>
      <c r="F29" s="44" t="s">
        <v>2102</v>
      </c>
      <c r="G29" s="44" t="s">
        <v>1612</v>
      </c>
      <c r="H29" s="44" t="s">
        <v>2104</v>
      </c>
      <c r="I29" s="34" t="str">
        <f>IF(ISBLANK(A29),"",VLOOKUP(A29,RELACIONES!$G$3:$H$65,2,FALSE()))</f>
        <v>Contrapisos De cascotes s/ terreno natural. Esp: 10cm. (con cemento de albañilería)</v>
      </c>
      <c r="J29" s="35" t="str">
        <f>IF(ISBLANK(A29),"",VLOOKUP(C29,RELACIONES!$A$3:$B$70,2,FALSE))</f>
        <v>CASCOTE DE LADRILLOS (M3)</v>
      </c>
      <c r="K29" s="40">
        <f>IF(ISBLANK(A29),"",VLOOKUP(J29,RELACIONES!$B$3:$E$83,4,FALSE)*E29)</f>
        <v>2295</v>
      </c>
    </row>
    <row r="30" ht="15.75" customHeight="1">
      <c r="A30" s="42" t="s">
        <v>2043</v>
      </c>
      <c r="B30" s="43" t="s">
        <v>2095</v>
      </c>
      <c r="C30" s="42" t="s">
        <v>1436</v>
      </c>
      <c r="D30" s="44" t="s">
        <v>2097</v>
      </c>
      <c r="E30" s="45">
        <v>0.007</v>
      </c>
      <c r="F30" s="44" t="s">
        <v>2102</v>
      </c>
      <c r="G30" s="44" t="s">
        <v>1612</v>
      </c>
      <c r="H30" s="46" t="s">
        <v>2112</v>
      </c>
      <c r="I30" s="34" t="str">
        <f>IF(ISBLANK(A30),"",VLOOKUP(A30,RELACIONES!$G$3:$H$65,2,FALSE()))</f>
        <v>Contrapisos De cascotes s/ terreno natural. Esp: 10cm. (con cemento de albañilería)</v>
      </c>
      <c r="J30" s="35" t="str">
        <f>IF(ISBLANK(A30),"",VLOOKUP(C30,RELACIONES!$A$3:$B$70,2,FALSE))</f>
        <v>FRATACHO (U)</v>
      </c>
      <c r="K30" s="40">
        <f>IF(ISBLANK(A30),"",VLOOKUP(J30,RELACIONES!$B$3:$E$83,4,FALSE)*E30)</f>
        <v>24.5</v>
      </c>
    </row>
    <row r="31" ht="15.75" customHeight="1">
      <c r="A31" s="42" t="s">
        <v>2043</v>
      </c>
      <c r="B31" s="43" t="s">
        <v>2095</v>
      </c>
      <c r="C31" s="42" t="s">
        <v>1437</v>
      </c>
      <c r="D31" s="44" t="s">
        <v>2097</v>
      </c>
      <c r="E31" s="45">
        <v>0.007</v>
      </c>
      <c r="F31" s="44" t="s">
        <v>2102</v>
      </c>
      <c r="G31" s="44" t="s">
        <v>1612</v>
      </c>
      <c r="H31" s="46" t="s">
        <v>2112</v>
      </c>
      <c r="I31" s="34" t="str">
        <f>IF(ISBLANK(A31),"",VLOOKUP(A31,RELACIONES!$G$3:$H$65,2,FALSE()))</f>
        <v>Contrapisos De cascotes s/ terreno natural. Esp: 10cm. (con cemento de albañilería)</v>
      </c>
      <c r="J31" s="35" t="str">
        <f>IF(ISBLANK(A31),"",VLOOKUP(C31,RELACIONES!$A$3:$B$70,2,FALSE))</f>
        <v>LLANA LISA (U)</v>
      </c>
      <c r="K31" s="40">
        <f>IF(ISBLANK(A31),"",VLOOKUP(J31,RELACIONES!$B$3:$E$83,4,FALSE)*E31)</f>
        <v>73.5</v>
      </c>
    </row>
    <row r="32" ht="15.75" customHeight="1">
      <c r="A32" s="42" t="s">
        <v>2043</v>
      </c>
      <c r="B32" s="43" t="s">
        <v>2095</v>
      </c>
      <c r="C32" s="42" t="s">
        <v>1438</v>
      </c>
      <c r="D32" s="44" t="s">
        <v>2114</v>
      </c>
      <c r="E32" s="45">
        <v>0.05</v>
      </c>
      <c r="F32" s="44" t="s">
        <v>2102</v>
      </c>
      <c r="G32" s="44" t="s">
        <v>1612</v>
      </c>
      <c r="H32" s="46" t="s">
        <v>2112</v>
      </c>
      <c r="I32" s="34" t="str">
        <f>IF(ISBLANK(A32),"",VLOOKUP(A32,RELACIONES!$G$3:$H$65,2,FALSE()))</f>
        <v>Contrapisos De cascotes s/ terreno natural. Esp: 10cm. (con cemento de albañilería)</v>
      </c>
      <c r="J32" s="35" t="str">
        <f>IF(ISBLANK(A32),"",VLOOKUP(C32,RELACIONES!$A$3:$B$70,2,FALSE))</f>
        <v>CARTÓN CORRUGADO (M2)</v>
      </c>
      <c r="K32" s="40">
        <f>IF(ISBLANK(A32),"",VLOOKUP(J32,RELACIONES!$B$3:$E$83,4,FALSE)*E32)</f>
        <v>26</v>
      </c>
    </row>
    <row r="33" ht="15.75" customHeight="1">
      <c r="A33" s="36"/>
      <c r="B33" s="36"/>
      <c r="C33" s="36"/>
      <c r="D33" s="36"/>
      <c r="E33" s="37"/>
      <c r="F33" s="36"/>
      <c r="G33" s="36"/>
      <c r="H33" s="36"/>
      <c r="I33" s="34" t="str">
        <f>IF(ISBLANK(A33),"",VLOOKUP(A33,RELACIONES!$G$3:$H$65,2,FALSE()))</f>
        <v/>
      </c>
      <c r="J33" s="35" t="str">
        <f>IF(ISBLANK(A33),"",VLOOKUP(C33,RELACIONES!$A$3:$B$70,2,FALSE))</f>
        <v/>
      </c>
      <c r="K33" s="35" t="str">
        <f>IF(ISBLANK(A33),"",VLOOKUP(J33,RELACIONES!$B$3:$E$83,4,FALSE)*E33)</f>
        <v/>
      </c>
    </row>
    <row r="34" ht="15.75" customHeight="1">
      <c r="A34" s="42" t="s">
        <v>2044</v>
      </c>
      <c r="B34" s="43" t="s">
        <v>2095</v>
      </c>
      <c r="C34" s="42" t="s">
        <v>2105</v>
      </c>
      <c r="D34" s="44" t="s">
        <v>2106</v>
      </c>
      <c r="E34" s="45">
        <v>1.8</v>
      </c>
      <c r="F34" s="44" t="s">
        <v>2102</v>
      </c>
      <c r="G34" s="44" t="s">
        <v>1612</v>
      </c>
      <c r="H34" s="44" t="s">
        <v>2104</v>
      </c>
      <c r="I34" s="34" t="str">
        <f>IF(ISBLANK(A34),"",VLOOKUP(A34,RELACIONES!$G$3:$H$65,2,FALSE()))</f>
        <v>Contrapisos De cascotes s/ terreno natural. Esp: 10cm. (con cemento de albañilería)</v>
      </c>
      <c r="J34" s="35" t="str">
        <f>IF(ISBLANK(A34),"",VLOOKUP(C34,RELACIONES!$A$3:$B$70,2,FALSE))</f>
        <v>Cemento Loma Negra</v>
      </c>
      <c r="K34" s="40">
        <f>IF(ISBLANK(A34),"",VLOOKUP(J34,RELACIONES!$B$3:$E$83,4,FALSE)*E34)</f>
        <v>563.166</v>
      </c>
    </row>
    <row r="35" ht="15.75" customHeight="1">
      <c r="A35" s="42" t="s">
        <v>2044</v>
      </c>
      <c r="B35" s="43" t="s">
        <v>2095</v>
      </c>
      <c r="C35" s="42" t="s">
        <v>2107</v>
      </c>
      <c r="D35" s="44" t="s">
        <v>2108</v>
      </c>
      <c r="E35" s="45">
        <v>0.0425</v>
      </c>
      <c r="F35" s="44" t="s">
        <v>2102</v>
      </c>
      <c r="G35" s="44" t="s">
        <v>1612</v>
      </c>
      <c r="H35" s="44" t="s">
        <v>2104</v>
      </c>
      <c r="I35" s="34" t="str">
        <f>IF(ISBLANK(A35),"",VLOOKUP(A35,RELACIONES!$G$3:$H$65,2,FALSE()))</f>
        <v>Contrapisos De cascotes s/ terreno natural. Esp: 10cm. (con cemento de albañilería)</v>
      </c>
      <c r="J35" s="35" t="str">
        <f>IF(ISBLANK(A35),"",VLOOKUP(C35,RELACIONES!$A$3:$B$70,2,FALSE))</f>
        <v>Arena fina</v>
      </c>
      <c r="K35" s="40">
        <f>IF(ISBLANK(A35),"",VLOOKUP(J35,RELACIONES!$B$3:$E$83,4,FALSE)*E35)</f>
        <v>2314.19555</v>
      </c>
    </row>
    <row r="36" ht="15.75" customHeight="1">
      <c r="A36" s="42" t="s">
        <v>2044</v>
      </c>
      <c r="B36" s="43" t="s">
        <v>2095</v>
      </c>
      <c r="C36" s="42" t="s">
        <v>2109</v>
      </c>
      <c r="D36" s="44" t="s">
        <v>2106</v>
      </c>
      <c r="E36" s="45">
        <v>6.75</v>
      </c>
      <c r="F36" s="44" t="s">
        <v>2102</v>
      </c>
      <c r="G36" s="44" t="s">
        <v>1612</v>
      </c>
      <c r="H36" s="44" t="s">
        <v>2104</v>
      </c>
      <c r="I36" s="34" t="str">
        <f>IF(ISBLANK(A36),"",VLOOKUP(A36,RELACIONES!$G$3:$H$65,2,FALSE()))</f>
        <v>Contrapisos De cascotes s/ terreno natural. Esp: 10cm. (con cemento de albañilería)</v>
      </c>
      <c r="J36" s="35" t="str">
        <f>IF(ISBLANK(A36),"",VLOOKUP(C36,RELACIONES!$A$3:$B$70,2,FALSE))</f>
        <v>Cal Hidráulica, Hidralit Avellaneda</v>
      </c>
      <c r="K36" s="40">
        <f>IF(ISBLANK(A36),"",VLOOKUP(J36,RELACIONES!$B$3:$E$83,4,FALSE)*E36)</f>
        <v>2806.1775</v>
      </c>
    </row>
    <row r="37" ht="15.75" customHeight="1">
      <c r="A37" s="42" t="s">
        <v>2044</v>
      </c>
      <c r="B37" s="43" t="s">
        <v>2095</v>
      </c>
      <c r="C37" s="42" t="s">
        <v>1433</v>
      </c>
      <c r="D37" s="44" t="s">
        <v>2108</v>
      </c>
      <c r="E37" s="45">
        <v>0.085</v>
      </c>
      <c r="F37" s="44" t="s">
        <v>2102</v>
      </c>
      <c r="G37" s="44" t="s">
        <v>1612</v>
      </c>
      <c r="H37" s="44" t="s">
        <v>2104</v>
      </c>
      <c r="I37" s="34" t="str">
        <f>IF(ISBLANK(A37),"",VLOOKUP(A37,RELACIONES!$G$3:$H$65,2,FALSE()))</f>
        <v>Contrapisos De cascotes s/ terreno natural. Esp: 10cm. (con cemento de albañilería)</v>
      </c>
      <c r="J37" s="35" t="str">
        <f>IF(ISBLANK(A37),"",VLOOKUP(C37,RELACIONES!$A$3:$B$70,2,FALSE))</f>
        <v>CASCOTE DE LADRILLOS (M3)</v>
      </c>
      <c r="K37" s="40">
        <f>IF(ISBLANK(A37),"",VLOOKUP(J37,RELACIONES!$B$3:$E$83,4,FALSE)*E37)</f>
        <v>2295</v>
      </c>
    </row>
    <row r="38" ht="15.75" customHeight="1">
      <c r="A38" s="42" t="s">
        <v>2044</v>
      </c>
      <c r="B38" s="43" t="s">
        <v>2095</v>
      </c>
      <c r="C38" s="42" t="s">
        <v>1436</v>
      </c>
      <c r="D38" s="44" t="s">
        <v>2097</v>
      </c>
      <c r="E38" s="45">
        <v>0.007</v>
      </c>
      <c r="F38" s="44" t="s">
        <v>2102</v>
      </c>
      <c r="G38" s="44" t="s">
        <v>1612</v>
      </c>
      <c r="H38" s="46" t="s">
        <v>2112</v>
      </c>
      <c r="I38" s="34" t="str">
        <f>IF(ISBLANK(A38),"",VLOOKUP(A38,RELACIONES!$G$3:$H$65,2,FALSE()))</f>
        <v>Contrapisos De cascotes s/ terreno natural. Esp: 10cm. (con cemento de albañilería)</v>
      </c>
      <c r="J38" s="35" t="str">
        <f>IF(ISBLANK(A38),"",VLOOKUP(C38,RELACIONES!$A$3:$B$70,2,FALSE))</f>
        <v>FRATACHO (U)</v>
      </c>
      <c r="K38" s="40">
        <f>IF(ISBLANK(A38),"",VLOOKUP(J38,RELACIONES!$B$3:$E$83,4,FALSE)*E38)</f>
        <v>24.5</v>
      </c>
    </row>
    <row r="39" ht="15.75" customHeight="1">
      <c r="A39" s="42" t="s">
        <v>2044</v>
      </c>
      <c r="B39" s="43" t="s">
        <v>2095</v>
      </c>
      <c r="C39" s="42" t="s">
        <v>1437</v>
      </c>
      <c r="D39" s="44" t="s">
        <v>2097</v>
      </c>
      <c r="E39" s="45">
        <v>0.007</v>
      </c>
      <c r="F39" s="44" t="s">
        <v>2102</v>
      </c>
      <c r="G39" s="44" t="s">
        <v>1612</v>
      </c>
      <c r="H39" s="46" t="s">
        <v>2112</v>
      </c>
      <c r="I39" s="34" t="str">
        <f>IF(ISBLANK(A39),"",VLOOKUP(A39,RELACIONES!$G$3:$H$65,2,FALSE()))</f>
        <v>Contrapisos De cascotes s/ terreno natural. Esp: 10cm. (con cemento de albañilería)</v>
      </c>
      <c r="J39" s="35" t="str">
        <f>IF(ISBLANK(A39),"",VLOOKUP(C39,RELACIONES!$A$3:$B$70,2,FALSE))</f>
        <v>LLANA LISA (U)</v>
      </c>
      <c r="K39" s="40">
        <f>IF(ISBLANK(A39),"",VLOOKUP(J39,RELACIONES!$B$3:$E$83,4,FALSE)*E39)</f>
        <v>73.5</v>
      </c>
    </row>
    <row r="40" ht="15.75" customHeight="1">
      <c r="A40" s="42" t="s">
        <v>2044</v>
      </c>
      <c r="B40" s="43" t="s">
        <v>2095</v>
      </c>
      <c r="C40" s="42" t="s">
        <v>1438</v>
      </c>
      <c r="D40" s="44" t="s">
        <v>2114</v>
      </c>
      <c r="E40" s="45">
        <v>0.05</v>
      </c>
      <c r="F40" s="44" t="s">
        <v>2102</v>
      </c>
      <c r="G40" s="44" t="s">
        <v>1612</v>
      </c>
      <c r="H40" s="46" t="s">
        <v>2112</v>
      </c>
      <c r="I40" s="34" t="str">
        <f>IF(ISBLANK(A40),"",VLOOKUP(A40,RELACIONES!$G$3:$H$65,2,FALSE()))</f>
        <v>Contrapisos De cascotes s/ terreno natural. Esp: 10cm. (con cemento de albañilería)</v>
      </c>
      <c r="J40" s="35" t="str">
        <f>IF(ISBLANK(A40),"",VLOOKUP(C40,RELACIONES!$A$3:$B$70,2,FALSE))</f>
        <v>CARTÓN CORRUGADO (M2)</v>
      </c>
      <c r="K40" s="40">
        <f>IF(ISBLANK(A40),"",VLOOKUP(J40,RELACIONES!$B$3:$E$83,4,FALSE)*E40)</f>
        <v>26</v>
      </c>
    </row>
    <row r="41" ht="15.75" customHeight="1">
      <c r="A41" s="36"/>
      <c r="B41" s="36"/>
      <c r="C41" s="36"/>
      <c r="D41" s="36"/>
      <c r="E41" s="37"/>
      <c r="F41" s="36"/>
      <c r="G41" s="36"/>
      <c r="H41" s="36"/>
      <c r="I41" s="34" t="str">
        <f>IF(ISBLANK(A41),"",VLOOKUP(A41,RELACIONES!$G$3:$H$65,2,FALSE()))</f>
        <v/>
      </c>
      <c r="J41" s="35" t="str">
        <f>IF(ISBLANK(A41),"",VLOOKUP(C41,RELACIONES!$A$3:$B$70,2,FALSE))</f>
        <v/>
      </c>
      <c r="K41" s="35" t="str">
        <f>IF(ISBLANK(A41),"",VLOOKUP(J41,RELACIONES!$B$3:$E$83,4,FALSE)*E41)</f>
        <v/>
      </c>
    </row>
    <row r="42" ht="15.75" customHeight="1">
      <c r="A42" s="42" t="s">
        <v>2045</v>
      </c>
      <c r="B42" s="43" t="s">
        <v>2095</v>
      </c>
      <c r="C42" s="42" t="s">
        <v>2115</v>
      </c>
      <c r="D42" s="44" t="s">
        <v>2114</v>
      </c>
      <c r="E42" s="45">
        <v>1.1</v>
      </c>
      <c r="F42" s="44" t="s">
        <v>2102</v>
      </c>
      <c r="G42" s="44" t="s">
        <v>2116</v>
      </c>
      <c r="H42" s="44" t="s">
        <v>2104</v>
      </c>
      <c r="I42" s="34" t="str">
        <f>IF(ISBLANK(A42),"",VLOOKUP(A42,RELACIONES!$G$3:$H$65,2,FALSE()))</f>
        <v>Cubiertas Colocación de membrana asfáltica con imprimación de superficie</v>
      </c>
      <c r="J42" s="35" t="str">
        <f>IF(ISBLANK(A42),"",VLOOKUP(C42,RELACIONES!$A$3:$B$70,2,FALSE))</f>
        <v>Membrana Asfáltica c/aluminio Megaflex esp. 4mm</v>
      </c>
      <c r="K42" s="40">
        <f>IF(ISBLANK(A42),"",VLOOKUP(J42,RELACIONES!$B$3:$E$83,4,FALSE)*E42)</f>
        <v>12751.222</v>
      </c>
    </row>
    <row r="43" ht="15.75" customHeight="1">
      <c r="A43" s="36"/>
      <c r="B43" s="36"/>
      <c r="C43" s="36"/>
      <c r="D43" s="36"/>
      <c r="E43" s="37"/>
      <c r="F43" s="36"/>
      <c r="G43" s="36"/>
      <c r="H43" s="36"/>
      <c r="I43" s="34" t="str">
        <f>IF(ISBLANK(A43),"",VLOOKUP(A43,RELACIONES!$G$3:$H$65,2,FALSE()))</f>
        <v/>
      </c>
      <c r="J43" s="35" t="str">
        <f>IF(ISBLANK(A43),"",VLOOKUP(C43,RELACIONES!$A$3:$B$70,2,FALSE))</f>
        <v/>
      </c>
      <c r="K43" s="35" t="str">
        <f>IF(ISBLANK(A43),"",VLOOKUP(J43,RELACIONES!$B$3:$E$83,4,FALSE)*E43)</f>
        <v/>
      </c>
    </row>
    <row r="44" ht="15.75" customHeight="1">
      <c r="A44" s="39" t="s">
        <v>2046</v>
      </c>
      <c r="B44" s="31" t="s">
        <v>2095</v>
      </c>
      <c r="C44" s="39" t="s">
        <v>2117</v>
      </c>
      <c r="D44" s="33" t="s">
        <v>2114</v>
      </c>
      <c r="E44" s="32">
        <v>1.1</v>
      </c>
      <c r="F44" s="33" t="s">
        <v>2102</v>
      </c>
      <c r="G44" s="33" t="s">
        <v>2116</v>
      </c>
      <c r="H44" s="33" t="s">
        <v>2104</v>
      </c>
      <c r="I44" s="34" t="str">
        <f>IF(ISBLANK(A44),"",VLOOKUP(A44,RELACIONES!$G$3:$H$65,2,FALSE()))</f>
        <v>Cubiertas Colocación de membrana asfáltica con imprimación de superficie</v>
      </c>
      <c r="J44" s="35" t="str">
        <f>IF(ISBLANK(A44),"",VLOOKUP(C44,RELACIONES!$A$3:$B$70,2,FALSE))</f>
        <v>Membrana Asfáltica c/aluminio Megaflex esp. 4mm</v>
      </c>
      <c r="K44" s="40">
        <f>IF(ISBLANK(A44),"",VLOOKUP(J44,RELACIONES!$B$3:$E$83,4,FALSE)*E44)</f>
        <v>12751.222</v>
      </c>
    </row>
    <row r="45" ht="15.75" customHeight="1">
      <c r="A45" s="36"/>
      <c r="B45" s="36"/>
      <c r="C45" s="36"/>
      <c r="D45" s="36"/>
      <c r="E45" s="37"/>
      <c r="F45" s="36"/>
      <c r="G45" s="36"/>
      <c r="H45" s="36"/>
      <c r="I45" s="34" t="str">
        <f>IF(ISBLANK(A45),"",VLOOKUP(A45,RELACIONES!$G$3:$H$65,2,FALSE()))</f>
        <v/>
      </c>
      <c r="J45" s="35" t="str">
        <f>IF(ISBLANK(A45),"",VLOOKUP(C45,RELACIONES!$A$3:$B$70,2,FALSE))</f>
        <v/>
      </c>
      <c r="K45" s="35" t="str">
        <f>IF(ISBLANK(A45),"",VLOOKUP(J45,RELACIONES!$B$3:$E$83,4,FALSE)*E45)</f>
        <v/>
      </c>
    </row>
    <row r="46" ht="15.75" customHeight="1">
      <c r="A46" s="42" t="s">
        <v>2047</v>
      </c>
      <c r="B46" s="43" t="s">
        <v>2095</v>
      </c>
      <c r="C46" s="42" t="s">
        <v>1439</v>
      </c>
      <c r="D46" s="44" t="s">
        <v>2114</v>
      </c>
      <c r="E46" s="45">
        <v>1.1</v>
      </c>
      <c r="F46" s="44" t="s">
        <v>2102</v>
      </c>
      <c r="G46" s="44" t="s">
        <v>2116</v>
      </c>
      <c r="H46" s="44" t="s">
        <v>2104</v>
      </c>
      <c r="I46" s="34" t="str">
        <f>IF(ISBLANK(A46),"",VLOOKUP(A46,RELACIONES!$G$3:$H$65,2,FALSE()))</f>
        <v>Cubiertas Colocación de membrana asfáltica con imprimación de superficie</v>
      </c>
      <c r="J46" s="35" t="str">
        <f>IF(ISBLANK(A46),"",VLOOKUP(C46,RELACIONES!$A$3:$B$70,2,FALSE))</f>
        <v>MEMBRANA ASFÁLTICA GEOTEXTIL (M2)</v>
      </c>
      <c r="K46" s="40">
        <f>IF(ISBLANK(A46),"",VLOOKUP(J46,RELACIONES!$B$3:$E$83,4,FALSE)*E46)</f>
        <v>8800</v>
      </c>
    </row>
    <row r="47" ht="15.75" customHeight="1">
      <c r="A47" s="36"/>
      <c r="B47" s="36"/>
      <c r="C47" s="36"/>
      <c r="D47" s="36"/>
      <c r="E47" s="37"/>
      <c r="F47" s="36"/>
      <c r="G47" s="36"/>
      <c r="H47" s="36"/>
      <c r="I47" s="34" t="str">
        <f>IF(ISBLANK(A47),"",VLOOKUP(A47,RELACIONES!$G$3:$H$65,2,FALSE()))</f>
        <v/>
      </c>
      <c r="J47" s="35" t="str">
        <f>IF(ISBLANK(A47),"",VLOOKUP(C47,RELACIONES!$A$3:$B$70,2,FALSE))</f>
        <v/>
      </c>
      <c r="K47" s="35" t="str">
        <f>IF(ISBLANK(A47),"",VLOOKUP(J47,RELACIONES!$B$3:$E$83,4,FALSE)*E47)</f>
        <v/>
      </c>
    </row>
    <row r="48" ht="15.75" customHeight="1">
      <c r="A48" s="39" t="s">
        <v>2048</v>
      </c>
      <c r="B48" s="31" t="s">
        <v>2095</v>
      </c>
      <c r="C48" s="39" t="s">
        <v>2118</v>
      </c>
      <c r="D48" s="33" t="s">
        <v>2106</v>
      </c>
      <c r="E48" s="32">
        <v>0.5</v>
      </c>
      <c r="F48" s="33" t="s">
        <v>2102</v>
      </c>
      <c r="G48" s="33" t="s">
        <v>2116</v>
      </c>
      <c r="H48" s="33" t="s">
        <v>2104</v>
      </c>
      <c r="I48" s="34" t="str">
        <f>IF(ISBLANK(A48),"",VLOOKUP(A48,RELACIONES!$G$3:$H$65,2,FALSE()))</f>
        <v/>
      </c>
      <c r="J48" s="35" t="str">
        <f>IF(ISBLANK(A48),"",VLOOKUP(C48,RELACIONES!$A$3:$B$70,2,FALSE))</f>
        <v>Pintura asfáltica Megaflex, base solvente, 18L</v>
      </c>
      <c r="K48" s="40">
        <f>IF(ISBLANK(A48),"",VLOOKUP(J48,RELACIONES!$B$3:$E$83,4,FALSE)*E48)</f>
        <v>4741.660833</v>
      </c>
    </row>
    <row r="49" ht="15.75" customHeight="1">
      <c r="A49" s="36"/>
      <c r="B49" s="36"/>
      <c r="C49" s="36"/>
      <c r="D49" s="36"/>
      <c r="E49" s="37"/>
      <c r="F49" s="36"/>
      <c r="G49" s="36"/>
      <c r="H49" s="36"/>
      <c r="I49" s="34" t="str">
        <f>IF(ISBLANK(A49),"",VLOOKUP(A49,RELACIONES!$G$3:$H$65,2,FALSE()))</f>
        <v/>
      </c>
      <c r="J49" s="35" t="str">
        <f>IF(ISBLANK(A49),"",VLOOKUP(C49,RELACIONES!$A$3:$B$70,2,FALSE))</f>
        <v/>
      </c>
      <c r="K49" s="35" t="str">
        <f>IF(ISBLANK(A49),"",VLOOKUP(J49,RELACIONES!$B$3:$E$83,4,FALSE)*E49)</f>
        <v/>
      </c>
    </row>
    <row r="50" ht="15.75" customHeight="1">
      <c r="A50" s="42" t="s">
        <v>2049</v>
      </c>
      <c r="B50" s="43" t="s">
        <v>2095</v>
      </c>
      <c r="C50" s="42" t="s">
        <v>2119</v>
      </c>
      <c r="D50" s="44" t="s">
        <v>2106</v>
      </c>
      <c r="E50" s="45">
        <v>0.5</v>
      </c>
      <c r="F50" s="44" t="s">
        <v>2102</v>
      </c>
      <c r="G50" s="44" t="s">
        <v>2116</v>
      </c>
      <c r="H50" s="44" t="s">
        <v>2104</v>
      </c>
      <c r="I50" s="34" t="str">
        <f>IF(ISBLANK(A50),"",VLOOKUP(A50,RELACIONES!$G$3:$H$65,2,FALSE()))</f>
        <v/>
      </c>
      <c r="J50" s="35" t="str">
        <f>IF(ISBLANK(A50),"",VLOOKUP(C50,RELACIONES!$A$3:$B$70,2,FALSE))</f>
        <v>Pintura asfáltica Megaflex, base solvente, 18L</v>
      </c>
      <c r="K50" s="40">
        <f>IF(ISBLANK(A50),"",VLOOKUP(J50,RELACIONES!$B$3:$E$83,4,FALSE)*E50)</f>
        <v>4741.660833</v>
      </c>
    </row>
    <row r="51" ht="15.75" customHeight="1">
      <c r="A51" s="36"/>
      <c r="B51" s="36"/>
      <c r="C51" s="36"/>
      <c r="D51" s="36"/>
      <c r="E51" s="37"/>
      <c r="F51" s="36"/>
      <c r="G51" s="36"/>
      <c r="H51" s="36"/>
      <c r="I51" s="34" t="str">
        <f>IF(ISBLANK(A51),"",VLOOKUP(A51,RELACIONES!$G$3:$H$65,2,FALSE()))</f>
        <v/>
      </c>
      <c r="J51" s="35" t="str">
        <f>IF(ISBLANK(A51),"",VLOOKUP(C51,RELACIONES!$A$3:$B$70,2,FALSE))</f>
        <v/>
      </c>
      <c r="K51" s="35" t="str">
        <f>IF(ISBLANK(A51),"",VLOOKUP(J51,RELACIONES!$B$3:$E$83,4,FALSE)*E51)</f>
        <v/>
      </c>
    </row>
    <row r="52" ht="15.75" customHeight="1">
      <c r="A52" s="39" t="s">
        <v>2050</v>
      </c>
      <c r="B52" s="31" t="s">
        <v>2095</v>
      </c>
      <c r="C52" s="39" t="s">
        <v>1435</v>
      </c>
      <c r="D52" s="33" t="s">
        <v>2114</v>
      </c>
      <c r="E52" s="32">
        <v>1.1</v>
      </c>
      <c r="F52" s="33" t="s">
        <v>2102</v>
      </c>
      <c r="G52" s="33" t="s">
        <v>2116</v>
      </c>
      <c r="H52" s="33" t="s">
        <v>2104</v>
      </c>
      <c r="I52" s="34" t="str">
        <f>IF(ISBLANK(A52),"",VLOOKUP(A52,RELACIONES!$G$3:$H$65,2,FALSE()))</f>
        <v/>
      </c>
      <c r="J52" s="35" t="str">
        <f>IF(ISBLANK(A52),"",VLOOKUP(C52,RELACIONES!$A$3:$B$70,2,FALSE))</f>
        <v>FILM POLIETILENO 200µ (M2)</v>
      </c>
      <c r="K52" s="40">
        <f>IF(ISBLANK(A52),"",VLOOKUP(J52,RELACIONES!$B$3:$E$83,4,FALSE)*E52)</f>
        <v>880</v>
      </c>
    </row>
    <row r="53" ht="15.75" customHeight="1">
      <c r="A53" s="36"/>
      <c r="B53" s="36"/>
      <c r="C53" s="36"/>
      <c r="D53" s="36"/>
      <c r="E53" s="37"/>
      <c r="F53" s="36"/>
      <c r="G53" s="36"/>
      <c r="H53" s="36"/>
      <c r="I53" s="34" t="str">
        <f>IF(ISBLANK(A53),"",VLOOKUP(A53,RELACIONES!$G$3:$H$65,2,FALSE()))</f>
        <v/>
      </c>
      <c r="J53" s="35" t="str">
        <f>IF(ISBLANK(A53),"",VLOOKUP(C53,RELACIONES!$A$3:$B$70,2,FALSE))</f>
        <v/>
      </c>
      <c r="K53" s="35" t="str">
        <f>IF(ISBLANK(A53),"",VLOOKUP(J53,RELACIONES!$B$3:$E$83,4,FALSE)*E53)</f>
        <v/>
      </c>
    </row>
    <row r="54" ht="15.75" customHeight="1">
      <c r="A54" s="42" t="s">
        <v>2051</v>
      </c>
      <c r="B54" s="43" t="s">
        <v>2095</v>
      </c>
      <c r="C54" s="42" t="s">
        <v>2105</v>
      </c>
      <c r="D54" s="44" t="s">
        <v>2106</v>
      </c>
      <c r="E54" s="45">
        <v>9.08</v>
      </c>
      <c r="F54" s="44" t="s">
        <v>2102</v>
      </c>
      <c r="G54" s="44" t="s">
        <v>1693</v>
      </c>
      <c r="H54" s="44" t="s">
        <v>2104</v>
      </c>
      <c r="I54" s="34" t="str">
        <f>IF(ISBLANK(A54),"",VLOOKUP(A54,RELACIONES!$G$3:$H$65,2,FALSE()))</f>
        <v>Carpetas Alisado de cemento para piso (Esp:2cm)</v>
      </c>
      <c r="J54" s="35" t="str">
        <f>IF(ISBLANK(A54),"",VLOOKUP(C54,RELACIONES!$A$3:$B$70,2,FALSE))</f>
        <v>Cemento Loma Negra</v>
      </c>
      <c r="K54" s="40">
        <f>IF(ISBLANK(A54),"",VLOOKUP(J54,RELACIONES!$B$3:$E$83,4,FALSE)*E54)</f>
        <v>2840.8596</v>
      </c>
    </row>
    <row r="55" ht="15.75" customHeight="1">
      <c r="A55" s="42" t="s">
        <v>2051</v>
      </c>
      <c r="B55" s="43" t="s">
        <v>2095</v>
      </c>
      <c r="C55" s="42" t="s">
        <v>2107</v>
      </c>
      <c r="D55" s="44" t="s">
        <v>2108</v>
      </c>
      <c r="E55" s="45">
        <v>0.0218</v>
      </c>
      <c r="F55" s="44" t="s">
        <v>2102</v>
      </c>
      <c r="G55" s="44" t="s">
        <v>1693</v>
      </c>
      <c r="H55" s="44" t="s">
        <v>2104</v>
      </c>
      <c r="I55" s="34" t="str">
        <f>IF(ISBLANK(A55),"",VLOOKUP(A55,RELACIONES!$G$3:$H$65,2,FALSE()))</f>
        <v>Carpetas Alisado de cemento para piso (Esp:2cm)</v>
      </c>
      <c r="J55" s="35" t="str">
        <f>IF(ISBLANK(A55),"",VLOOKUP(C55,RELACIONES!$A$3:$B$70,2,FALSE))</f>
        <v>Arena fina</v>
      </c>
      <c r="K55" s="40">
        <f>IF(ISBLANK(A55),"",VLOOKUP(J55,RELACIONES!$B$3:$E$83,4,FALSE)*E55)</f>
        <v>1187.046188</v>
      </c>
    </row>
    <row r="56" ht="15.75" customHeight="1">
      <c r="A56" s="42" t="s">
        <v>2051</v>
      </c>
      <c r="B56" s="43" t="s">
        <v>2095</v>
      </c>
      <c r="C56" s="42" t="s">
        <v>1436</v>
      </c>
      <c r="D56" s="44" t="s">
        <v>2097</v>
      </c>
      <c r="E56" s="45">
        <v>0.007</v>
      </c>
      <c r="F56" s="44" t="s">
        <v>2102</v>
      </c>
      <c r="G56" s="44" t="s">
        <v>1693</v>
      </c>
      <c r="H56" s="46" t="s">
        <v>2112</v>
      </c>
      <c r="I56" s="34" t="str">
        <f>IF(ISBLANK(A56),"",VLOOKUP(A56,RELACIONES!$G$3:$H$65,2,FALSE()))</f>
        <v>Carpetas Alisado de cemento para piso (Esp:2cm)</v>
      </c>
      <c r="J56" s="35" t="str">
        <f>IF(ISBLANK(A56),"",VLOOKUP(C56,RELACIONES!$A$3:$B$70,2,FALSE))</f>
        <v>FRATACHO (U)</v>
      </c>
      <c r="K56" s="40">
        <f>IF(ISBLANK(A56),"",VLOOKUP(J56,RELACIONES!$B$3:$E$83,4,FALSE)*E56)</f>
        <v>24.5</v>
      </c>
    </row>
    <row r="57" ht="15.75" customHeight="1">
      <c r="A57" s="42" t="s">
        <v>2051</v>
      </c>
      <c r="B57" s="43" t="s">
        <v>2095</v>
      </c>
      <c r="C57" s="42" t="s">
        <v>1440</v>
      </c>
      <c r="D57" s="44" t="s">
        <v>2097</v>
      </c>
      <c r="E57" s="45">
        <v>0.013</v>
      </c>
      <c r="F57" s="44" t="s">
        <v>2102</v>
      </c>
      <c r="G57" s="44" t="s">
        <v>1693</v>
      </c>
      <c r="H57" s="46" t="s">
        <v>2112</v>
      </c>
      <c r="I57" s="34" t="str">
        <f>IF(ISBLANK(A57),"",VLOOKUP(A57,RELACIONES!$G$3:$H$65,2,FALSE()))</f>
        <v>Carpetas Alisado de cemento para piso (Esp:2cm)</v>
      </c>
      <c r="J57" s="35" t="str">
        <f>IF(ISBLANK(A57),"",VLOOKUP(C57,RELACIONES!$A$3:$B$70,2,FALSE))</f>
        <v>FRATACHO ABRASIVO (U)</v>
      </c>
      <c r="K57" s="40">
        <f>IF(ISBLANK(A57),"",VLOOKUP(J57,RELACIONES!$B$3:$E$83,4,FALSE)*E57)</f>
        <v>58.5</v>
      </c>
    </row>
    <row r="58" ht="15.75" customHeight="1">
      <c r="A58" s="42" t="s">
        <v>2051</v>
      </c>
      <c r="B58" s="43" t="s">
        <v>2095</v>
      </c>
      <c r="C58" s="42" t="s">
        <v>1437</v>
      </c>
      <c r="D58" s="44" t="s">
        <v>2097</v>
      </c>
      <c r="E58" s="45">
        <v>0.007</v>
      </c>
      <c r="F58" s="44" t="s">
        <v>2102</v>
      </c>
      <c r="G58" s="44" t="s">
        <v>1693</v>
      </c>
      <c r="H58" s="46" t="s">
        <v>2112</v>
      </c>
      <c r="I58" s="34" t="str">
        <f>IF(ISBLANK(A58),"",VLOOKUP(A58,RELACIONES!$G$3:$H$65,2,FALSE()))</f>
        <v>Carpetas Alisado de cemento para piso (Esp:2cm)</v>
      </c>
      <c r="J58" s="35" t="str">
        <f>IF(ISBLANK(A58),"",VLOOKUP(C58,RELACIONES!$A$3:$B$70,2,FALSE))</f>
        <v>LLANA LISA (U)</v>
      </c>
      <c r="K58" s="40">
        <f>IF(ISBLANK(A58),"",VLOOKUP(J58,RELACIONES!$B$3:$E$83,4,FALSE)*E58)</f>
        <v>73.5</v>
      </c>
    </row>
    <row r="59" ht="15.75" customHeight="1">
      <c r="A59" s="36"/>
      <c r="B59" s="36"/>
      <c r="C59" s="36"/>
      <c r="D59" s="36"/>
      <c r="E59" s="37"/>
      <c r="F59" s="36"/>
      <c r="G59" s="36"/>
      <c r="H59" s="36"/>
      <c r="I59" s="34" t="str">
        <f>IF(ISBLANK(A59),"",VLOOKUP(A59,RELACIONES!$G$3:$H$65,2,FALSE()))</f>
        <v/>
      </c>
      <c r="J59" s="35" t="str">
        <f>IF(ISBLANK(A59),"",VLOOKUP(C59,RELACIONES!$A$3:$B$70,2,FALSE))</f>
        <v/>
      </c>
      <c r="K59" s="35" t="str">
        <f>IF(ISBLANK(A59),"",VLOOKUP(J59,RELACIONES!$B$3:$E$83,4,FALSE)*E59)</f>
        <v/>
      </c>
    </row>
    <row r="60" ht="15.75" customHeight="1">
      <c r="A60" s="39" t="s">
        <v>2052</v>
      </c>
      <c r="B60" s="31" t="s">
        <v>2095</v>
      </c>
      <c r="C60" s="39" t="s">
        <v>2105</v>
      </c>
      <c r="D60" s="33" t="s">
        <v>2106</v>
      </c>
      <c r="E60" s="32">
        <v>9.08</v>
      </c>
      <c r="F60" s="33" t="s">
        <v>2102</v>
      </c>
      <c r="G60" s="33" t="s">
        <v>1693</v>
      </c>
      <c r="H60" s="33" t="s">
        <v>2104</v>
      </c>
      <c r="I60" s="34" t="str">
        <f>IF(ISBLANK(A60),"",VLOOKUP(A60,RELACIONES!$G$3:$H$65,2,FALSE()))</f>
        <v>Carpetas Hidrofuga s/contrapiso (Esp: 2cm)</v>
      </c>
      <c r="J60" s="35" t="str">
        <f>IF(ISBLANK(A60),"",VLOOKUP(C60,RELACIONES!$A$3:$B$70,2,FALSE))</f>
        <v>Cemento Loma Negra</v>
      </c>
      <c r="K60" s="40">
        <f>IF(ISBLANK(A60),"",VLOOKUP(J60,RELACIONES!$B$3:$E$83,4,FALSE)*E60)</f>
        <v>2840.8596</v>
      </c>
    </row>
    <row r="61" ht="15.75" customHeight="1">
      <c r="A61" s="39" t="s">
        <v>2052</v>
      </c>
      <c r="B61" s="31" t="s">
        <v>2095</v>
      </c>
      <c r="C61" s="39" t="s">
        <v>2107</v>
      </c>
      <c r="D61" s="33" t="s">
        <v>2108</v>
      </c>
      <c r="E61" s="32">
        <v>0.024</v>
      </c>
      <c r="F61" s="33" t="s">
        <v>2102</v>
      </c>
      <c r="G61" s="33" t="s">
        <v>1693</v>
      </c>
      <c r="H61" s="33" t="s">
        <v>2104</v>
      </c>
      <c r="I61" s="34" t="str">
        <f>IF(ISBLANK(A61),"",VLOOKUP(A61,RELACIONES!$G$3:$H$65,2,FALSE()))</f>
        <v>Carpetas Hidrofuga s/contrapiso (Esp: 2cm)</v>
      </c>
      <c r="J61" s="35" t="str">
        <f>IF(ISBLANK(A61),"",VLOOKUP(C61,RELACIONES!$A$3:$B$70,2,FALSE))</f>
        <v>Arena fina</v>
      </c>
      <c r="K61" s="40">
        <f>IF(ISBLANK(A61),"",VLOOKUP(J61,RELACIONES!$B$3:$E$83,4,FALSE)*E61)</f>
        <v>1306.83984</v>
      </c>
    </row>
    <row r="62" ht="15.75" customHeight="1">
      <c r="A62" s="39" t="s">
        <v>2052</v>
      </c>
      <c r="B62" s="31" t="s">
        <v>2095</v>
      </c>
      <c r="C62" s="39" t="s">
        <v>2120</v>
      </c>
      <c r="D62" s="33" t="s">
        <v>2106</v>
      </c>
      <c r="E62" s="32">
        <v>0.36</v>
      </c>
      <c r="F62" s="33" t="s">
        <v>2102</v>
      </c>
      <c r="G62" s="33" t="s">
        <v>1693</v>
      </c>
      <c r="H62" s="33" t="s">
        <v>2104</v>
      </c>
      <c r="I62" s="34" t="str">
        <f>IF(ISBLANK(A62),"",VLOOKUP(A62,RELACIONES!$G$3:$H$65,2,FALSE()))</f>
        <v>Carpetas Hidrofuga s/contrapiso (Esp: 2cm)</v>
      </c>
      <c r="J62" s="35" t="str">
        <f>IF(ISBLANK(A62),"",VLOOKUP(C62,RELACIONES!$A$3:$B$70,2,FALSE))</f>
        <v>Hidrófugo Sika, caja x 20kg</v>
      </c>
      <c r="K62" s="40">
        <f>IF(ISBLANK(A62),"",VLOOKUP(J62,RELACIONES!$B$3:$E$83,4,FALSE)*E62)</f>
        <v>880.66836</v>
      </c>
    </row>
    <row r="63" ht="15.75" customHeight="1">
      <c r="A63" s="39" t="s">
        <v>2052</v>
      </c>
      <c r="B63" s="31" t="s">
        <v>2095</v>
      </c>
      <c r="C63" s="39" t="s">
        <v>1436</v>
      </c>
      <c r="D63" s="33" t="s">
        <v>2097</v>
      </c>
      <c r="E63" s="32">
        <v>0.007</v>
      </c>
      <c r="F63" s="33" t="s">
        <v>2102</v>
      </c>
      <c r="G63" s="33" t="s">
        <v>1693</v>
      </c>
      <c r="H63" s="41" t="s">
        <v>2112</v>
      </c>
      <c r="I63" s="34" t="str">
        <f>IF(ISBLANK(A63),"",VLOOKUP(A63,RELACIONES!$G$3:$H$65,2,FALSE()))</f>
        <v>Carpetas Hidrofuga s/contrapiso (Esp: 2cm)</v>
      </c>
      <c r="J63" s="35" t="str">
        <f>IF(ISBLANK(A63),"",VLOOKUP(C63,RELACIONES!$A$3:$B$70,2,FALSE))</f>
        <v>FRATACHO (U)</v>
      </c>
      <c r="K63" s="40">
        <f>IF(ISBLANK(A63),"",VLOOKUP(J63,RELACIONES!$B$3:$E$83,4,FALSE)*E63)</f>
        <v>24.5</v>
      </c>
    </row>
    <row r="64" ht="15.75" customHeight="1">
      <c r="A64" s="39" t="s">
        <v>2052</v>
      </c>
      <c r="B64" s="31" t="s">
        <v>2095</v>
      </c>
      <c r="C64" s="39" t="s">
        <v>1440</v>
      </c>
      <c r="D64" s="33" t="s">
        <v>2097</v>
      </c>
      <c r="E64" s="32">
        <v>0.013</v>
      </c>
      <c r="F64" s="33" t="s">
        <v>2102</v>
      </c>
      <c r="G64" s="33" t="s">
        <v>1693</v>
      </c>
      <c r="H64" s="41" t="s">
        <v>2112</v>
      </c>
      <c r="I64" s="34" t="str">
        <f>IF(ISBLANK(A64),"",VLOOKUP(A64,RELACIONES!$G$3:$H$65,2,FALSE()))</f>
        <v>Carpetas Hidrofuga s/contrapiso (Esp: 2cm)</v>
      </c>
      <c r="J64" s="35" t="str">
        <f>IF(ISBLANK(A64),"",VLOOKUP(C64,RELACIONES!$A$3:$B$70,2,FALSE))</f>
        <v>FRATACHO ABRASIVO (U)</v>
      </c>
      <c r="K64" s="40">
        <f>IF(ISBLANK(A64),"",VLOOKUP(J64,RELACIONES!$B$3:$E$83,4,FALSE)*E64)</f>
        <v>58.5</v>
      </c>
    </row>
    <row r="65" ht="15.75" customHeight="1">
      <c r="A65" s="39" t="s">
        <v>2052</v>
      </c>
      <c r="B65" s="31" t="s">
        <v>2095</v>
      </c>
      <c r="C65" s="39" t="s">
        <v>1437</v>
      </c>
      <c r="D65" s="33" t="s">
        <v>2097</v>
      </c>
      <c r="E65" s="32">
        <v>0.007</v>
      </c>
      <c r="F65" s="33" t="s">
        <v>2102</v>
      </c>
      <c r="G65" s="33" t="s">
        <v>1693</v>
      </c>
      <c r="H65" s="41" t="s">
        <v>2112</v>
      </c>
      <c r="I65" s="34" t="str">
        <f>IF(ISBLANK(A65),"",VLOOKUP(A65,RELACIONES!$G$3:$H$65,2,FALSE()))</f>
        <v>Carpetas Hidrofuga s/contrapiso (Esp: 2cm)</v>
      </c>
      <c r="J65" s="35" t="str">
        <f>IF(ISBLANK(A65),"",VLOOKUP(C65,RELACIONES!$A$3:$B$70,2,FALSE))</f>
        <v>LLANA LISA (U)</v>
      </c>
      <c r="K65" s="40">
        <f>IF(ISBLANK(A65),"",VLOOKUP(J65,RELACIONES!$B$3:$E$83,4,FALSE)*E65)</f>
        <v>73.5</v>
      </c>
    </row>
    <row r="66" ht="15.75" customHeight="1">
      <c r="A66" s="36"/>
      <c r="B66" s="36"/>
      <c r="C66" s="36"/>
      <c r="D66" s="36"/>
      <c r="E66" s="37"/>
      <c r="F66" s="36"/>
      <c r="G66" s="36"/>
      <c r="H66" s="36"/>
      <c r="I66" s="34" t="str">
        <f>IF(ISBLANK(A66),"",VLOOKUP(A66,RELACIONES!$G$3:$H$65,2,FALSE()))</f>
        <v/>
      </c>
      <c r="J66" s="35" t="str">
        <f>IF(ISBLANK(A66),"",VLOOKUP(C66,RELACIONES!$A$3:$B$70,2,FALSE))</f>
        <v/>
      </c>
      <c r="K66" s="35" t="str">
        <f>IF(ISBLANK(A66),"",VLOOKUP(J66,RELACIONES!$B$3:$E$83,4,FALSE)*E66)</f>
        <v/>
      </c>
    </row>
    <row r="67" ht="15.75" customHeight="1">
      <c r="A67" s="42" t="s">
        <v>2053</v>
      </c>
      <c r="B67" s="43" t="s">
        <v>2095</v>
      </c>
      <c r="C67" s="42" t="s">
        <v>2105</v>
      </c>
      <c r="D67" s="44" t="s">
        <v>2106</v>
      </c>
      <c r="E67" s="45">
        <v>2.52</v>
      </c>
      <c r="F67" s="44" t="s">
        <v>2102</v>
      </c>
      <c r="G67" s="44" t="s">
        <v>1598</v>
      </c>
      <c r="H67" s="44" t="s">
        <v>2104</v>
      </c>
      <c r="I67" s="34" t="str">
        <f>IF(ISBLANK(A67),"",VLOOKUP(A67,RELACIONES!$G$3:$H$65,2,FALSE()))</f>
        <v>Revoques 2 en 1: grueso y fino interior</v>
      </c>
      <c r="J67" s="35" t="str">
        <f>IF(ISBLANK(A67),"",VLOOKUP(C67,RELACIONES!$A$3:$B$70,2,FALSE))</f>
        <v>Cemento Loma Negra</v>
      </c>
      <c r="K67" s="40">
        <f>IF(ISBLANK(A67),"",VLOOKUP(J67,RELACIONES!$B$3:$E$83,4,FALSE)*E67)</f>
        <v>788.4324</v>
      </c>
    </row>
    <row r="68" ht="15.75" customHeight="1">
      <c r="A68" s="42" t="s">
        <v>2053</v>
      </c>
      <c r="B68" s="43" t="s">
        <v>2095</v>
      </c>
      <c r="C68" s="42" t="s">
        <v>2107</v>
      </c>
      <c r="D68" s="44" t="s">
        <v>2108</v>
      </c>
      <c r="E68" s="45">
        <v>0.028</v>
      </c>
      <c r="F68" s="44" t="s">
        <v>2102</v>
      </c>
      <c r="G68" s="44" t="s">
        <v>1598</v>
      </c>
      <c r="H68" s="44" t="s">
        <v>2104</v>
      </c>
      <c r="I68" s="34" t="str">
        <f>IF(ISBLANK(A68),"",VLOOKUP(A68,RELACIONES!$G$3:$H$65,2,FALSE()))</f>
        <v>Revoques 2 en 1: grueso y fino interior</v>
      </c>
      <c r="J68" s="35" t="str">
        <f>IF(ISBLANK(A68),"",VLOOKUP(C68,RELACIONES!$A$3:$B$70,2,FALSE))</f>
        <v>Arena fina</v>
      </c>
      <c r="K68" s="40">
        <f>IF(ISBLANK(A68),"",VLOOKUP(J68,RELACIONES!$B$3:$E$83,4,FALSE)*E68)</f>
        <v>1524.64648</v>
      </c>
    </row>
    <row r="69" ht="15.75" customHeight="1">
      <c r="A69" s="42" t="s">
        <v>2053</v>
      </c>
      <c r="B69" s="43" t="s">
        <v>2095</v>
      </c>
      <c r="C69" s="42" t="s">
        <v>2109</v>
      </c>
      <c r="D69" s="44" t="s">
        <v>2106</v>
      </c>
      <c r="E69" s="45">
        <v>4.52</v>
      </c>
      <c r="F69" s="44" t="s">
        <v>2102</v>
      </c>
      <c r="G69" s="44" t="s">
        <v>1598</v>
      </c>
      <c r="H69" s="44" t="s">
        <v>2104</v>
      </c>
      <c r="I69" s="34" t="str">
        <f>IF(ISBLANK(A69),"",VLOOKUP(A69,RELACIONES!$G$3:$H$65,2,FALSE()))</f>
        <v>Revoques 2 en 1: grueso y fino interior</v>
      </c>
      <c r="J69" s="35" t="str">
        <f>IF(ISBLANK(A69),"",VLOOKUP(C69,RELACIONES!$A$3:$B$70,2,FALSE))</f>
        <v>Cal Hidráulica, Hidralit Avellaneda</v>
      </c>
      <c r="K69" s="40">
        <f>IF(ISBLANK(A69),"",VLOOKUP(J69,RELACIONES!$B$3:$E$83,4,FALSE)*E69)</f>
        <v>1879.0996</v>
      </c>
    </row>
    <row r="70" ht="15.75" customHeight="1">
      <c r="A70" s="42" t="s">
        <v>2053</v>
      </c>
      <c r="B70" s="43" t="s">
        <v>2095</v>
      </c>
      <c r="C70" s="42" t="s">
        <v>2121</v>
      </c>
      <c r="D70" s="44" t="s">
        <v>2106</v>
      </c>
      <c r="E70" s="45">
        <v>2.2</v>
      </c>
      <c r="F70" s="44" t="s">
        <v>2102</v>
      </c>
      <c r="G70" s="44" t="s">
        <v>1598</v>
      </c>
      <c r="H70" s="44" t="s">
        <v>2104</v>
      </c>
      <c r="I70" s="34" t="str">
        <f>IF(ISBLANK(A70),"",VLOOKUP(A70,RELACIONES!$G$3:$H$65,2,FALSE()))</f>
        <v>Revoques 2 en 1: grueso y fino interior</v>
      </c>
      <c r="J70" s="35" t="str">
        <f>IF(ISBLANK(A70),"",VLOOKUP(C70,RELACIONES!$A$3:$B$70,2,FALSE))</f>
        <v>Cal Aérea Hidratada El Milagro</v>
      </c>
      <c r="K70" s="40">
        <f>IF(ISBLANK(A70),"",VLOOKUP(J70,RELACIONES!$B$3:$E$83,4,FALSE)*E70)</f>
        <v>2341.372</v>
      </c>
    </row>
    <row r="71" ht="15.75" customHeight="1">
      <c r="A71" s="42" t="s">
        <v>2053</v>
      </c>
      <c r="B71" s="43" t="s">
        <v>2095</v>
      </c>
      <c r="C71" s="42" t="s">
        <v>1436</v>
      </c>
      <c r="D71" s="44" t="s">
        <v>2097</v>
      </c>
      <c r="E71" s="45">
        <v>0.007</v>
      </c>
      <c r="F71" s="44" t="s">
        <v>2102</v>
      </c>
      <c r="G71" s="44" t="s">
        <v>1598</v>
      </c>
      <c r="H71" s="46" t="s">
        <v>2112</v>
      </c>
      <c r="I71" s="34" t="str">
        <f>IF(ISBLANK(A71),"",VLOOKUP(A71,RELACIONES!$G$3:$H$65,2,FALSE()))</f>
        <v>Revoques 2 en 1: grueso y fino interior</v>
      </c>
      <c r="J71" s="35" t="str">
        <f>IF(ISBLANK(A71),"",VLOOKUP(C71,RELACIONES!$A$3:$B$70,2,FALSE))</f>
        <v>FRATACHO (U)</v>
      </c>
      <c r="K71" s="40">
        <f>IF(ISBLANK(A71),"",VLOOKUP(J71,RELACIONES!$B$3:$E$83,4,FALSE)*E71)</f>
        <v>24.5</v>
      </c>
    </row>
    <row r="72" ht="15.75" customHeight="1">
      <c r="A72" s="42" t="s">
        <v>2053</v>
      </c>
      <c r="B72" s="43" t="s">
        <v>2095</v>
      </c>
      <c r="C72" s="42" t="s">
        <v>1440</v>
      </c>
      <c r="D72" s="44" t="s">
        <v>2097</v>
      </c>
      <c r="E72" s="45">
        <v>0.013</v>
      </c>
      <c r="F72" s="44" t="s">
        <v>2102</v>
      </c>
      <c r="G72" s="44" t="s">
        <v>1598</v>
      </c>
      <c r="H72" s="46" t="s">
        <v>2112</v>
      </c>
      <c r="I72" s="34" t="str">
        <f>IF(ISBLANK(A72),"",VLOOKUP(A72,RELACIONES!$G$3:$H$65,2,FALSE()))</f>
        <v>Revoques 2 en 1: grueso y fino interior</v>
      </c>
      <c r="J72" s="35" t="str">
        <f>IF(ISBLANK(A72),"",VLOOKUP(C72,RELACIONES!$A$3:$B$70,2,FALSE))</f>
        <v>FRATACHO ABRASIVO (U)</v>
      </c>
      <c r="K72" s="40">
        <f>IF(ISBLANK(A72),"",VLOOKUP(J72,RELACIONES!$B$3:$E$83,4,FALSE)*E72)</f>
        <v>58.5</v>
      </c>
    </row>
    <row r="73" ht="15.75" customHeight="1">
      <c r="A73" s="42" t="s">
        <v>2053</v>
      </c>
      <c r="B73" s="43" t="s">
        <v>2095</v>
      </c>
      <c r="C73" s="42" t="s">
        <v>1437</v>
      </c>
      <c r="D73" s="44" t="s">
        <v>2097</v>
      </c>
      <c r="E73" s="45">
        <v>0.007</v>
      </c>
      <c r="F73" s="44" t="s">
        <v>2102</v>
      </c>
      <c r="G73" s="44" t="s">
        <v>1598</v>
      </c>
      <c r="H73" s="46" t="s">
        <v>2112</v>
      </c>
      <c r="I73" s="34" t="str">
        <f>IF(ISBLANK(A73),"",VLOOKUP(A73,RELACIONES!$G$3:$H$65,2,FALSE()))</f>
        <v>Revoques 2 en 1: grueso y fino interior</v>
      </c>
      <c r="J73" s="35" t="str">
        <f>IF(ISBLANK(A73),"",VLOOKUP(C73,RELACIONES!$A$3:$B$70,2,FALSE))</f>
        <v>LLANA LISA (U)</v>
      </c>
      <c r="K73" s="40">
        <f>IF(ISBLANK(A73),"",VLOOKUP(J73,RELACIONES!$B$3:$E$83,4,FALSE)*E73)</f>
        <v>73.5</v>
      </c>
    </row>
    <row r="74" ht="15.75" customHeight="1">
      <c r="A74" s="42" t="s">
        <v>2053</v>
      </c>
      <c r="B74" s="43" t="s">
        <v>2095</v>
      </c>
      <c r="C74" s="42" t="s">
        <v>1432</v>
      </c>
      <c r="D74" s="44" t="s">
        <v>2097</v>
      </c>
      <c r="E74" s="45">
        <v>0.025</v>
      </c>
      <c r="F74" s="44" t="s">
        <v>2102</v>
      </c>
      <c r="G74" s="44" t="s">
        <v>1598</v>
      </c>
      <c r="H74" s="46" t="s">
        <v>2112</v>
      </c>
      <c r="I74" s="34" t="str">
        <f>IF(ISBLANK(A74),"",VLOOKUP(A74,RELACIONES!$G$3:$H$65,2,FALSE()))</f>
        <v>Revoques 2 en 1: grueso y fino interior</v>
      </c>
      <c r="J74" s="35" t="str">
        <f>IF(ISBLANK(A74),"",VLOOKUP(C74,RELACIONES!$A$3:$B$70,2,FALSE))</f>
        <v>DISCO DE CORTE PARA MAMPOSTERÍA (U)</v>
      </c>
      <c r="K74" s="40">
        <f>IF(ISBLANK(A74),"",VLOOKUP(J74,RELACIONES!$B$3:$E$83,4,FALSE)*E74)</f>
        <v>100</v>
      </c>
    </row>
    <row r="75" ht="15.75" customHeight="1">
      <c r="A75" s="36"/>
      <c r="B75" s="36"/>
      <c r="C75" s="36"/>
      <c r="D75" s="36"/>
      <c r="E75" s="37"/>
      <c r="F75" s="36"/>
      <c r="G75" s="36"/>
      <c r="H75" s="36"/>
      <c r="I75" s="34" t="str">
        <f>IF(ISBLANK(A75),"",VLOOKUP(A75,RELACIONES!$G$3:$H$65,2,FALSE()))</f>
        <v/>
      </c>
      <c r="J75" s="35" t="str">
        <f>IF(ISBLANK(A75),"",VLOOKUP(C75,RELACIONES!$A$3:$B$70,2,FALSE))</f>
        <v/>
      </c>
      <c r="K75" s="35" t="str">
        <f>IF(ISBLANK(A75),"",VLOOKUP(J75,RELACIONES!$B$3:$E$83,4,FALSE)*E75)</f>
        <v/>
      </c>
    </row>
    <row r="76" ht="15.75" customHeight="1">
      <c r="A76" s="39" t="s">
        <v>2054</v>
      </c>
      <c r="B76" s="31" t="s">
        <v>2095</v>
      </c>
      <c r="C76" s="39" t="s">
        <v>2105</v>
      </c>
      <c r="D76" s="33" t="s">
        <v>2106</v>
      </c>
      <c r="E76" s="32">
        <v>9.08</v>
      </c>
      <c r="F76" s="33" t="s">
        <v>2102</v>
      </c>
      <c r="G76" s="33" t="s">
        <v>1598</v>
      </c>
      <c r="H76" s="33" t="s">
        <v>2104</v>
      </c>
      <c r="I76" s="34" t="str">
        <f>IF(ISBLANK(A76),"",VLOOKUP(A76,RELACIONES!$G$3:$H$65,2,FALSE()))</f>
        <v>Revoques 3 en 1: grueso con hidrofugo y fino exterior</v>
      </c>
      <c r="J76" s="35" t="str">
        <f>IF(ISBLANK(A76),"",VLOOKUP(C76,RELACIONES!$A$3:$B$70,2,FALSE))</f>
        <v>Cemento Loma Negra</v>
      </c>
      <c r="K76" s="40">
        <f>IF(ISBLANK(A76),"",VLOOKUP(J76,RELACIONES!$B$3:$E$83,4,FALSE)*E76)</f>
        <v>2840.8596</v>
      </c>
    </row>
    <row r="77" ht="15.75" customHeight="1">
      <c r="A77" s="39" t="s">
        <v>2054</v>
      </c>
      <c r="B77" s="31" t="s">
        <v>2095</v>
      </c>
      <c r="C77" s="39" t="s">
        <v>2107</v>
      </c>
      <c r="D77" s="33" t="s">
        <v>2108</v>
      </c>
      <c r="E77" s="32">
        <v>0.024</v>
      </c>
      <c r="F77" s="33" t="s">
        <v>2102</v>
      </c>
      <c r="G77" s="33" t="s">
        <v>1598</v>
      </c>
      <c r="H77" s="33" t="s">
        <v>2104</v>
      </c>
      <c r="I77" s="34" t="str">
        <f>IF(ISBLANK(A77),"",VLOOKUP(A77,RELACIONES!$G$3:$H$65,2,FALSE()))</f>
        <v>Revoques 3 en 1: grueso con hidrofugo y fino exterior</v>
      </c>
      <c r="J77" s="35" t="str">
        <f>IF(ISBLANK(A77),"",VLOOKUP(C77,RELACIONES!$A$3:$B$70,2,FALSE))</f>
        <v>Arena fina</v>
      </c>
      <c r="K77" s="40">
        <f>IF(ISBLANK(A77),"",VLOOKUP(J77,RELACIONES!$B$3:$E$83,4,FALSE)*E77)</f>
        <v>1306.83984</v>
      </c>
    </row>
    <row r="78" ht="15.75" customHeight="1">
      <c r="A78" s="39" t="s">
        <v>2054</v>
      </c>
      <c r="B78" s="31" t="s">
        <v>2095</v>
      </c>
      <c r="C78" s="39" t="s">
        <v>2120</v>
      </c>
      <c r="D78" s="33" t="s">
        <v>2106</v>
      </c>
      <c r="E78" s="32">
        <v>0.36</v>
      </c>
      <c r="F78" s="33" t="s">
        <v>2102</v>
      </c>
      <c r="G78" s="33" t="s">
        <v>1598</v>
      </c>
      <c r="H78" s="33" t="s">
        <v>2104</v>
      </c>
      <c r="I78" s="34" t="str">
        <f>IF(ISBLANK(A78),"",VLOOKUP(A78,RELACIONES!$G$3:$H$65,2,FALSE()))</f>
        <v>Revoques 3 en 1: grueso con hidrofugo y fino exterior</v>
      </c>
      <c r="J78" s="35" t="str">
        <f>IF(ISBLANK(A78),"",VLOOKUP(C78,RELACIONES!$A$3:$B$70,2,FALSE))</f>
        <v>Hidrófugo Sika, caja x 20kg</v>
      </c>
      <c r="K78" s="40">
        <f>IF(ISBLANK(A78),"",VLOOKUP(J78,RELACIONES!$B$3:$E$83,4,FALSE)*E78)</f>
        <v>880.66836</v>
      </c>
    </row>
    <row r="79" ht="15.75" customHeight="1">
      <c r="A79" s="39" t="s">
        <v>2054</v>
      </c>
      <c r="B79" s="31" t="s">
        <v>2095</v>
      </c>
      <c r="C79" s="39" t="s">
        <v>2121</v>
      </c>
      <c r="D79" s="33" t="s">
        <v>2106</v>
      </c>
      <c r="E79" s="32">
        <v>2.2</v>
      </c>
      <c r="F79" s="33" t="s">
        <v>2102</v>
      </c>
      <c r="G79" s="33" t="s">
        <v>1598</v>
      </c>
      <c r="H79" s="33" t="s">
        <v>2104</v>
      </c>
      <c r="I79" s="34" t="str">
        <f>IF(ISBLANK(A79),"",VLOOKUP(A79,RELACIONES!$G$3:$H$65,2,FALSE()))</f>
        <v>Revoques 3 en 1: grueso con hidrofugo y fino exterior</v>
      </c>
      <c r="J79" s="35" t="str">
        <f>IF(ISBLANK(A79),"",VLOOKUP(C79,RELACIONES!$A$3:$B$70,2,FALSE))</f>
        <v>Cal Aérea Hidratada El Milagro</v>
      </c>
      <c r="K79" s="40">
        <f>IF(ISBLANK(A79),"",VLOOKUP(J79,RELACIONES!$B$3:$E$83,4,FALSE)*E79)</f>
        <v>2341.372</v>
      </c>
    </row>
    <row r="80" ht="15.75" customHeight="1">
      <c r="A80" s="39" t="s">
        <v>2054</v>
      </c>
      <c r="B80" s="31" t="s">
        <v>2095</v>
      </c>
      <c r="C80" s="39" t="s">
        <v>1436</v>
      </c>
      <c r="D80" s="33" t="s">
        <v>2097</v>
      </c>
      <c r="E80" s="32">
        <v>0.007</v>
      </c>
      <c r="F80" s="33" t="s">
        <v>2102</v>
      </c>
      <c r="G80" s="33" t="s">
        <v>1598</v>
      </c>
      <c r="H80" s="41" t="s">
        <v>2112</v>
      </c>
      <c r="I80" s="34" t="str">
        <f>IF(ISBLANK(A80),"",VLOOKUP(A80,RELACIONES!$G$3:$H$65,2,FALSE()))</f>
        <v>Revoques 3 en 1: grueso con hidrofugo y fino exterior</v>
      </c>
      <c r="J80" s="35" t="str">
        <f>IF(ISBLANK(A80),"",VLOOKUP(C80,RELACIONES!$A$3:$B$70,2,FALSE))</f>
        <v>FRATACHO (U)</v>
      </c>
      <c r="K80" s="40">
        <f>IF(ISBLANK(A80),"",VLOOKUP(J80,RELACIONES!$B$3:$E$83,4,FALSE)*E80)</f>
        <v>24.5</v>
      </c>
    </row>
    <row r="81" ht="15.75" customHeight="1">
      <c r="A81" s="39" t="s">
        <v>2054</v>
      </c>
      <c r="B81" s="31" t="s">
        <v>2095</v>
      </c>
      <c r="C81" s="39" t="s">
        <v>1440</v>
      </c>
      <c r="D81" s="33" t="s">
        <v>2097</v>
      </c>
      <c r="E81" s="32">
        <v>0.013</v>
      </c>
      <c r="F81" s="33" t="s">
        <v>2102</v>
      </c>
      <c r="G81" s="33" t="s">
        <v>1598</v>
      </c>
      <c r="H81" s="41" t="s">
        <v>2112</v>
      </c>
      <c r="I81" s="34" t="str">
        <f>IF(ISBLANK(A81),"",VLOOKUP(A81,RELACIONES!$G$3:$H$65,2,FALSE()))</f>
        <v>Revoques 3 en 1: grueso con hidrofugo y fino exterior</v>
      </c>
      <c r="J81" s="35" t="str">
        <f>IF(ISBLANK(A81),"",VLOOKUP(C81,RELACIONES!$A$3:$B$70,2,FALSE))</f>
        <v>FRATACHO ABRASIVO (U)</v>
      </c>
      <c r="K81" s="40">
        <f>IF(ISBLANK(A81),"",VLOOKUP(J81,RELACIONES!$B$3:$E$83,4,FALSE)*E81)</f>
        <v>58.5</v>
      </c>
    </row>
    <row r="82" ht="15.75" customHeight="1">
      <c r="A82" s="39" t="s">
        <v>2054</v>
      </c>
      <c r="B82" s="31" t="s">
        <v>2095</v>
      </c>
      <c r="C82" s="39" t="s">
        <v>1437</v>
      </c>
      <c r="D82" s="33" t="s">
        <v>2097</v>
      </c>
      <c r="E82" s="32">
        <v>0.007</v>
      </c>
      <c r="F82" s="33" t="s">
        <v>2102</v>
      </c>
      <c r="G82" s="33" t="s">
        <v>1598</v>
      </c>
      <c r="H82" s="41" t="s">
        <v>2112</v>
      </c>
      <c r="I82" s="34" t="str">
        <f>IF(ISBLANK(A82),"",VLOOKUP(A82,RELACIONES!$G$3:$H$65,2,FALSE()))</f>
        <v>Revoques 3 en 1: grueso con hidrofugo y fino exterior</v>
      </c>
      <c r="J82" s="35" t="str">
        <f>IF(ISBLANK(A82),"",VLOOKUP(C82,RELACIONES!$A$3:$B$70,2,FALSE))</f>
        <v>LLANA LISA (U)</v>
      </c>
      <c r="K82" s="40">
        <f>IF(ISBLANK(A82),"",VLOOKUP(J82,RELACIONES!$B$3:$E$83,4,FALSE)*E82)</f>
        <v>73.5</v>
      </c>
    </row>
    <row r="83" ht="15.75" customHeight="1">
      <c r="A83" s="39" t="s">
        <v>2054</v>
      </c>
      <c r="B83" s="31" t="s">
        <v>2095</v>
      </c>
      <c r="C83" s="39" t="s">
        <v>1432</v>
      </c>
      <c r="D83" s="33" t="s">
        <v>2097</v>
      </c>
      <c r="E83" s="32">
        <v>0.025</v>
      </c>
      <c r="F83" s="33" t="s">
        <v>2102</v>
      </c>
      <c r="G83" s="33" t="s">
        <v>1598</v>
      </c>
      <c r="H83" s="41" t="s">
        <v>2112</v>
      </c>
      <c r="I83" s="34" t="str">
        <f>IF(ISBLANK(A83),"",VLOOKUP(A83,RELACIONES!$G$3:$H$65,2,FALSE()))</f>
        <v>Revoques 3 en 1: grueso con hidrofugo y fino exterior</v>
      </c>
      <c r="J83" s="35" t="str">
        <f>IF(ISBLANK(A83),"",VLOOKUP(C83,RELACIONES!$A$3:$B$70,2,FALSE))</f>
        <v>DISCO DE CORTE PARA MAMPOSTERÍA (U)</v>
      </c>
      <c r="K83" s="40">
        <f>IF(ISBLANK(A83),"",VLOOKUP(J83,RELACIONES!$B$3:$E$83,4,FALSE)*E83)</f>
        <v>100</v>
      </c>
    </row>
    <row r="84" ht="15.75" customHeight="1">
      <c r="A84" s="36"/>
      <c r="B84" s="36"/>
      <c r="C84" s="36"/>
      <c r="D84" s="36"/>
      <c r="E84" s="37"/>
      <c r="F84" s="36"/>
      <c r="G84" s="36"/>
      <c r="H84" s="36"/>
      <c r="I84" s="34" t="str">
        <f>IF(ISBLANK(A84),"",VLOOKUP(A84,RELACIONES!$G$3:$H$65,2,FALSE()))</f>
        <v/>
      </c>
      <c r="J84" s="35" t="str">
        <f>IF(ISBLANK(A84),"",VLOOKUP(C84,RELACIONES!$A$3:$B$70,2,FALSE))</f>
        <v/>
      </c>
      <c r="K84" s="35" t="str">
        <f>IF(ISBLANK(A84),"",VLOOKUP(J84,RELACIONES!$B$3:$E$83,4,FALSE)*E84)</f>
        <v/>
      </c>
    </row>
    <row r="85" ht="15.75" customHeight="1">
      <c r="A85" s="42" t="s">
        <v>2055</v>
      </c>
      <c r="B85" s="43" t="s">
        <v>2095</v>
      </c>
      <c r="C85" s="42" t="s">
        <v>2105</v>
      </c>
      <c r="D85" s="44" t="s">
        <v>2106</v>
      </c>
      <c r="E85" s="45">
        <v>2.52</v>
      </c>
      <c r="F85" s="44" t="s">
        <v>2102</v>
      </c>
      <c r="G85" s="44" t="s">
        <v>1598</v>
      </c>
      <c r="H85" s="44" t="s">
        <v>2104</v>
      </c>
      <c r="I85" s="34" t="str">
        <f>IF(ISBLANK(A85),"",VLOOKUP(A85,RELACIONES!$G$3:$H$65,2,FALSE()))</f>
        <v>Revoques 3 en 1: grueso con hidrofugo y fino exterior</v>
      </c>
      <c r="J85" s="35" t="str">
        <f>IF(ISBLANK(A85),"",VLOOKUP(C85,RELACIONES!$A$3:$B$70,2,FALSE))</f>
        <v>Cemento Loma Negra</v>
      </c>
      <c r="K85" s="40">
        <f>IF(ISBLANK(A85),"",VLOOKUP(J85,RELACIONES!$B$3:$E$83,4,FALSE)*E85)</f>
        <v>788.4324</v>
      </c>
    </row>
    <row r="86" ht="15.75" customHeight="1">
      <c r="A86" s="42" t="s">
        <v>2055</v>
      </c>
      <c r="B86" s="43" t="s">
        <v>2095</v>
      </c>
      <c r="C86" s="42" t="s">
        <v>2107</v>
      </c>
      <c r="D86" s="44" t="s">
        <v>2108</v>
      </c>
      <c r="E86" s="45">
        <v>0.024</v>
      </c>
      <c r="F86" s="44" t="s">
        <v>2102</v>
      </c>
      <c r="G86" s="44" t="s">
        <v>1598</v>
      </c>
      <c r="H86" s="44" t="s">
        <v>2104</v>
      </c>
      <c r="I86" s="34" t="str">
        <f>IF(ISBLANK(A86),"",VLOOKUP(A86,RELACIONES!$G$3:$H$65,2,FALSE()))</f>
        <v>Revoques 3 en 1: grueso con hidrofugo y fino exterior</v>
      </c>
      <c r="J86" s="35" t="str">
        <f>IF(ISBLANK(A86),"",VLOOKUP(C86,RELACIONES!$A$3:$B$70,2,FALSE))</f>
        <v>Arena fina</v>
      </c>
      <c r="K86" s="40">
        <f>IF(ISBLANK(A86),"",VLOOKUP(J86,RELACIONES!$B$3:$E$83,4,FALSE)*E86)</f>
        <v>1306.83984</v>
      </c>
    </row>
    <row r="87" ht="15.75" customHeight="1">
      <c r="A87" s="42" t="s">
        <v>2055</v>
      </c>
      <c r="B87" s="43" t="s">
        <v>2095</v>
      </c>
      <c r="C87" s="42" t="s">
        <v>2109</v>
      </c>
      <c r="D87" s="44" t="s">
        <v>2106</v>
      </c>
      <c r="E87" s="45">
        <v>4.52</v>
      </c>
      <c r="F87" s="44" t="s">
        <v>2102</v>
      </c>
      <c r="G87" s="44" t="s">
        <v>1598</v>
      </c>
      <c r="H87" s="44" t="s">
        <v>2104</v>
      </c>
      <c r="I87" s="34" t="str">
        <f>IF(ISBLANK(A87),"",VLOOKUP(A87,RELACIONES!$G$3:$H$65,2,FALSE()))</f>
        <v>Revoques 3 en 1: grueso con hidrofugo y fino exterior</v>
      </c>
      <c r="J87" s="35" t="str">
        <f>IF(ISBLANK(A87),"",VLOOKUP(C87,RELACIONES!$A$3:$B$70,2,FALSE))</f>
        <v>Cal Hidráulica, Hidralit Avellaneda</v>
      </c>
      <c r="K87" s="40">
        <f>IF(ISBLANK(A87),"",VLOOKUP(J87,RELACIONES!$B$3:$E$83,4,FALSE)*E87)</f>
        <v>1879.0996</v>
      </c>
    </row>
    <row r="88" ht="15.75" customHeight="1">
      <c r="A88" s="42" t="s">
        <v>2055</v>
      </c>
      <c r="B88" s="43" t="s">
        <v>2095</v>
      </c>
      <c r="C88" s="42" t="s">
        <v>2122</v>
      </c>
      <c r="D88" s="44" t="s">
        <v>2106</v>
      </c>
      <c r="E88" s="45">
        <v>1.2</v>
      </c>
      <c r="F88" s="44" t="s">
        <v>2102</v>
      </c>
      <c r="G88" s="44" t="s">
        <v>1598</v>
      </c>
      <c r="H88" s="44" t="s">
        <v>2104</v>
      </c>
      <c r="I88" s="34" t="str">
        <f>IF(ISBLANK(A88),"",VLOOKUP(A88,RELACIONES!$G$3:$H$65,2,FALSE()))</f>
        <v>Revoques 3 en 1: grueso con hidrofugo y fino exterior</v>
      </c>
      <c r="J88" s="35" t="str">
        <f>IF(ISBLANK(A88),"",VLOOKUP(C88,RELACIONES!$A$3:$B$70,2,FALSE))</f>
        <v>Yeso Blanco Betalfa Pescio x40kg</v>
      </c>
      <c r="K88" s="40">
        <f>IF(ISBLANK(A88),"",VLOOKUP(J88,RELACIONES!$B$3:$E$83,4,FALSE)*E88)</f>
        <v>1057.2045</v>
      </c>
    </row>
    <row r="89" ht="15.75" customHeight="1">
      <c r="A89" s="42" t="s">
        <v>2055</v>
      </c>
      <c r="B89" s="43" t="s">
        <v>2095</v>
      </c>
      <c r="C89" s="42" t="s">
        <v>1436</v>
      </c>
      <c r="D89" s="44" t="s">
        <v>2097</v>
      </c>
      <c r="E89" s="45">
        <v>0.007</v>
      </c>
      <c r="F89" s="44" t="s">
        <v>2102</v>
      </c>
      <c r="G89" s="44" t="s">
        <v>1598</v>
      </c>
      <c r="H89" s="46" t="s">
        <v>2112</v>
      </c>
      <c r="I89" s="34" t="str">
        <f>IF(ISBLANK(A89),"",VLOOKUP(A89,RELACIONES!$G$3:$H$65,2,FALSE()))</f>
        <v>Revoques 3 en 1: grueso con hidrofugo y fino exterior</v>
      </c>
      <c r="J89" s="35" t="str">
        <f>IF(ISBLANK(A89),"",VLOOKUP(C89,RELACIONES!$A$3:$B$70,2,FALSE))</f>
        <v>FRATACHO (U)</v>
      </c>
      <c r="K89" s="40">
        <f>IF(ISBLANK(A89),"",VLOOKUP(J89,RELACIONES!$B$3:$E$83,4,FALSE)*E89)</f>
        <v>24.5</v>
      </c>
    </row>
    <row r="90" ht="15.75" customHeight="1">
      <c r="A90" s="42" t="s">
        <v>2055</v>
      </c>
      <c r="B90" s="43" t="s">
        <v>2095</v>
      </c>
      <c r="C90" s="42" t="s">
        <v>1437</v>
      </c>
      <c r="D90" s="44" t="s">
        <v>2097</v>
      </c>
      <c r="E90" s="45">
        <v>0.007</v>
      </c>
      <c r="F90" s="44" t="s">
        <v>2102</v>
      </c>
      <c r="G90" s="44" t="s">
        <v>1598</v>
      </c>
      <c r="H90" s="46" t="s">
        <v>2112</v>
      </c>
      <c r="I90" s="34" t="str">
        <f>IF(ISBLANK(A90),"",VLOOKUP(A90,RELACIONES!$G$3:$H$65,2,FALSE()))</f>
        <v>Revoques 3 en 1: grueso con hidrofugo y fino exterior</v>
      </c>
      <c r="J90" s="35" t="str">
        <f>IF(ISBLANK(A90),"",VLOOKUP(C90,RELACIONES!$A$3:$B$70,2,FALSE))</f>
        <v>LLANA LISA (U)</v>
      </c>
      <c r="K90" s="40">
        <f>IF(ISBLANK(A90),"",VLOOKUP(J90,RELACIONES!$B$3:$E$83,4,FALSE)*E90)</f>
        <v>73.5</v>
      </c>
    </row>
    <row r="91" ht="15.75" customHeight="1">
      <c r="A91" s="42" t="s">
        <v>2055</v>
      </c>
      <c r="B91" s="43" t="s">
        <v>2095</v>
      </c>
      <c r="C91" s="42" t="s">
        <v>1432</v>
      </c>
      <c r="D91" s="44" t="s">
        <v>2097</v>
      </c>
      <c r="E91" s="45">
        <v>0.025</v>
      </c>
      <c r="F91" s="44" t="s">
        <v>2102</v>
      </c>
      <c r="G91" s="44" t="s">
        <v>1598</v>
      </c>
      <c r="H91" s="46" t="s">
        <v>2112</v>
      </c>
      <c r="I91" s="34" t="str">
        <f>IF(ISBLANK(A91),"",VLOOKUP(A91,RELACIONES!$G$3:$H$65,2,FALSE()))</f>
        <v>Revoques 3 en 1: grueso con hidrofugo y fino exterior</v>
      </c>
      <c r="J91" s="35" t="str">
        <f>IF(ISBLANK(A91),"",VLOOKUP(C91,RELACIONES!$A$3:$B$70,2,FALSE))</f>
        <v>DISCO DE CORTE PARA MAMPOSTERÍA (U)</v>
      </c>
      <c r="K91" s="40">
        <f>IF(ISBLANK(A91),"",VLOOKUP(J91,RELACIONES!$B$3:$E$83,4,FALSE)*E91)</f>
        <v>100</v>
      </c>
    </row>
    <row r="92" ht="15.75" customHeight="1">
      <c r="A92" s="36"/>
      <c r="B92" s="36"/>
      <c r="C92" s="36"/>
      <c r="D92" s="36"/>
      <c r="E92" s="37"/>
      <c r="F92" s="36"/>
      <c r="G92" s="36"/>
      <c r="H92" s="36"/>
      <c r="I92" s="34" t="str">
        <f>IF(ISBLANK(A92),"",VLOOKUP(A92,RELACIONES!$G$3:$H$65,2,FALSE()))</f>
        <v/>
      </c>
      <c r="J92" s="35" t="str">
        <f>IF(ISBLANK(A92),"",VLOOKUP(C92,RELACIONES!$A$3:$B$70,2,FALSE))</f>
        <v/>
      </c>
      <c r="K92" s="35" t="str">
        <f>IF(ISBLANK(A92),"",VLOOKUP(J92,RELACIONES!$B$3:$E$83,4,FALSE)*E92)</f>
        <v/>
      </c>
    </row>
    <row r="93" ht="15.75" customHeight="1">
      <c r="A93" s="39" t="s">
        <v>2056</v>
      </c>
      <c r="B93" s="31" t="s">
        <v>2095</v>
      </c>
      <c r="C93" s="39" t="s">
        <v>2105</v>
      </c>
      <c r="D93" s="33" t="s">
        <v>2106</v>
      </c>
      <c r="E93" s="32">
        <v>9.08</v>
      </c>
      <c r="F93" s="33" t="s">
        <v>2102</v>
      </c>
      <c r="G93" s="33" t="s">
        <v>1598</v>
      </c>
      <c r="H93" s="33" t="s">
        <v>2104</v>
      </c>
      <c r="I93" s="34" t="str">
        <f>IF(ISBLANK(A93),"",VLOOKUP(A93,RELACIONES!$G$3:$H$65,2,FALSE()))</f>
        <v>Revoques Enlucido de yeso</v>
      </c>
      <c r="J93" s="35" t="str">
        <f>IF(ISBLANK(A93),"",VLOOKUP(C93,RELACIONES!$A$3:$B$70,2,FALSE))</f>
        <v>Cemento Loma Negra</v>
      </c>
      <c r="K93" s="40">
        <f>IF(ISBLANK(A93),"",VLOOKUP(J93,RELACIONES!$B$3:$E$83,4,FALSE)*E93)</f>
        <v>2840.8596</v>
      </c>
    </row>
    <row r="94" ht="15.75" customHeight="1">
      <c r="A94" s="39" t="s">
        <v>2056</v>
      </c>
      <c r="B94" s="31" t="s">
        <v>2095</v>
      </c>
      <c r="C94" s="39" t="s">
        <v>2107</v>
      </c>
      <c r="D94" s="33" t="s">
        <v>2108</v>
      </c>
      <c r="E94" s="32">
        <v>0.024</v>
      </c>
      <c r="F94" s="33" t="s">
        <v>2102</v>
      </c>
      <c r="G94" s="33" t="s">
        <v>1598</v>
      </c>
      <c r="H94" s="33" t="s">
        <v>2104</v>
      </c>
      <c r="I94" s="34" t="str">
        <f>IF(ISBLANK(A94),"",VLOOKUP(A94,RELACIONES!$G$3:$H$65,2,FALSE()))</f>
        <v>Revoques Enlucido de yeso</v>
      </c>
      <c r="J94" s="35" t="str">
        <f>IF(ISBLANK(A94),"",VLOOKUP(C94,RELACIONES!$A$3:$B$70,2,FALSE))</f>
        <v>Arena fina</v>
      </c>
      <c r="K94" s="40">
        <f>IF(ISBLANK(A94),"",VLOOKUP(J94,RELACIONES!$B$3:$E$83,4,FALSE)*E94)</f>
        <v>1306.83984</v>
      </c>
    </row>
    <row r="95" ht="15.75" customHeight="1">
      <c r="A95" s="39" t="s">
        <v>2056</v>
      </c>
      <c r="B95" s="31" t="s">
        <v>2095</v>
      </c>
      <c r="C95" s="39" t="s">
        <v>2120</v>
      </c>
      <c r="D95" s="33" t="s">
        <v>2106</v>
      </c>
      <c r="E95" s="32">
        <v>0.36</v>
      </c>
      <c r="F95" s="33" t="s">
        <v>2102</v>
      </c>
      <c r="G95" s="33" t="s">
        <v>1598</v>
      </c>
      <c r="H95" s="33" t="s">
        <v>2104</v>
      </c>
      <c r="I95" s="34" t="str">
        <f>IF(ISBLANK(A95),"",VLOOKUP(A95,RELACIONES!$G$3:$H$65,2,FALSE()))</f>
        <v>Revoques Enlucido de yeso</v>
      </c>
      <c r="J95" s="35" t="str">
        <f>IF(ISBLANK(A95),"",VLOOKUP(C95,RELACIONES!$A$3:$B$70,2,FALSE))</f>
        <v>Hidrófugo Sika, caja x 20kg</v>
      </c>
      <c r="K95" s="40">
        <f>IF(ISBLANK(A95),"",VLOOKUP(J95,RELACIONES!$B$3:$E$83,4,FALSE)*E95)</f>
        <v>880.66836</v>
      </c>
    </row>
    <row r="96" ht="15.75" customHeight="1">
      <c r="A96" s="39" t="s">
        <v>2056</v>
      </c>
      <c r="B96" s="31" t="s">
        <v>2095</v>
      </c>
      <c r="C96" s="39" t="s">
        <v>2122</v>
      </c>
      <c r="D96" s="33" t="s">
        <v>2106</v>
      </c>
      <c r="E96" s="32">
        <v>1.2</v>
      </c>
      <c r="F96" s="33" t="s">
        <v>2102</v>
      </c>
      <c r="G96" s="33" t="s">
        <v>1598</v>
      </c>
      <c r="H96" s="33" t="s">
        <v>2104</v>
      </c>
      <c r="I96" s="34" t="str">
        <f>IF(ISBLANK(A96),"",VLOOKUP(A96,RELACIONES!$G$3:$H$65,2,FALSE()))</f>
        <v>Revoques Enlucido de yeso</v>
      </c>
      <c r="J96" s="35" t="str">
        <f>IF(ISBLANK(A96),"",VLOOKUP(C96,RELACIONES!$A$3:$B$70,2,FALSE))</f>
        <v>Yeso Blanco Betalfa Pescio x40kg</v>
      </c>
      <c r="K96" s="40">
        <f>IF(ISBLANK(A96),"",VLOOKUP(J96,RELACIONES!$B$3:$E$83,4,FALSE)*E96)</f>
        <v>1057.2045</v>
      </c>
    </row>
    <row r="97" ht="15.75" customHeight="1">
      <c r="A97" s="39" t="s">
        <v>2056</v>
      </c>
      <c r="B97" s="31" t="s">
        <v>2095</v>
      </c>
      <c r="C97" s="39" t="s">
        <v>1436</v>
      </c>
      <c r="D97" s="33" t="s">
        <v>2097</v>
      </c>
      <c r="E97" s="32">
        <v>0.007</v>
      </c>
      <c r="F97" s="33" t="s">
        <v>2102</v>
      </c>
      <c r="G97" s="33" t="s">
        <v>1598</v>
      </c>
      <c r="H97" s="41" t="s">
        <v>2112</v>
      </c>
      <c r="I97" s="34" t="str">
        <f>IF(ISBLANK(A97),"",VLOOKUP(A97,RELACIONES!$G$3:$H$65,2,FALSE()))</f>
        <v>Revoques Enlucido de yeso</v>
      </c>
      <c r="J97" s="35" t="str">
        <f>IF(ISBLANK(A97),"",VLOOKUP(C97,RELACIONES!$A$3:$B$70,2,FALSE))</f>
        <v>FRATACHO (U)</v>
      </c>
      <c r="K97" s="40">
        <f>IF(ISBLANK(A97),"",VLOOKUP(J97,RELACIONES!$B$3:$E$83,4,FALSE)*E97)</f>
        <v>24.5</v>
      </c>
    </row>
    <row r="98" ht="15.75" customHeight="1">
      <c r="A98" s="39" t="s">
        <v>2056</v>
      </c>
      <c r="B98" s="31" t="s">
        <v>2095</v>
      </c>
      <c r="C98" s="39" t="s">
        <v>1437</v>
      </c>
      <c r="D98" s="33" t="s">
        <v>2097</v>
      </c>
      <c r="E98" s="32">
        <v>0.007</v>
      </c>
      <c r="F98" s="33" t="s">
        <v>2102</v>
      </c>
      <c r="G98" s="33" t="s">
        <v>1598</v>
      </c>
      <c r="H98" s="41" t="s">
        <v>2112</v>
      </c>
      <c r="I98" s="34" t="str">
        <f>IF(ISBLANK(A98),"",VLOOKUP(A98,RELACIONES!$G$3:$H$65,2,FALSE()))</f>
        <v>Revoques Enlucido de yeso</v>
      </c>
      <c r="J98" s="35" t="str">
        <f>IF(ISBLANK(A98),"",VLOOKUP(C98,RELACIONES!$A$3:$B$70,2,FALSE))</f>
        <v>LLANA LISA (U)</v>
      </c>
      <c r="K98" s="40">
        <f>IF(ISBLANK(A98),"",VLOOKUP(J98,RELACIONES!$B$3:$E$83,4,FALSE)*E98)</f>
        <v>73.5</v>
      </c>
    </row>
    <row r="99" ht="15.75" customHeight="1">
      <c r="A99" s="39" t="s">
        <v>2056</v>
      </c>
      <c r="B99" s="31" t="s">
        <v>2095</v>
      </c>
      <c r="C99" s="39" t="s">
        <v>1432</v>
      </c>
      <c r="D99" s="33" t="s">
        <v>2097</v>
      </c>
      <c r="E99" s="32">
        <v>0.025</v>
      </c>
      <c r="F99" s="33" t="s">
        <v>2102</v>
      </c>
      <c r="G99" s="33" t="s">
        <v>1598</v>
      </c>
      <c r="H99" s="41" t="s">
        <v>2112</v>
      </c>
      <c r="I99" s="34" t="str">
        <f>IF(ISBLANK(A99),"",VLOOKUP(A99,RELACIONES!$G$3:$H$65,2,FALSE()))</f>
        <v>Revoques Enlucido de yeso</v>
      </c>
      <c r="J99" s="35" t="str">
        <f>IF(ISBLANK(A99),"",VLOOKUP(C99,RELACIONES!$A$3:$B$70,2,FALSE))</f>
        <v>DISCO DE CORTE PARA MAMPOSTERÍA (U)</v>
      </c>
      <c r="K99" s="40">
        <f>IF(ISBLANK(A99),"",VLOOKUP(J99,RELACIONES!$B$3:$E$83,4,FALSE)*E99)</f>
        <v>100</v>
      </c>
    </row>
    <row r="100" ht="15.75" customHeight="1">
      <c r="A100" s="36"/>
      <c r="B100" s="36"/>
      <c r="C100" s="36"/>
      <c r="D100" s="36"/>
      <c r="E100" s="37"/>
      <c r="F100" s="36"/>
      <c r="G100" s="36"/>
      <c r="H100" s="36"/>
      <c r="I100" s="34" t="str">
        <f>IF(ISBLANK(A100),"",VLOOKUP(A100,RELACIONES!$G$3:$H$65,2,FALSE()))</f>
        <v/>
      </c>
      <c r="J100" s="35" t="str">
        <f>IF(ISBLANK(A100),"",VLOOKUP(C100,RELACIONES!$A$3:$B$70,2,FALSE))</f>
        <v/>
      </c>
      <c r="K100" s="35" t="str">
        <f>IF(ISBLANK(A100),"",VLOOKUP(J100,RELACIONES!$B$3:$E$83,4,FALSE)*E100)</f>
        <v/>
      </c>
    </row>
    <row r="101" ht="15.75" customHeight="1">
      <c r="A101" s="39" t="s">
        <v>2057</v>
      </c>
      <c r="B101" s="31" t="s">
        <v>2095</v>
      </c>
      <c r="C101" s="39" t="s">
        <v>2122</v>
      </c>
      <c r="D101" s="33" t="s">
        <v>2106</v>
      </c>
      <c r="E101" s="32">
        <v>10.2</v>
      </c>
      <c r="F101" s="33" t="s">
        <v>2102</v>
      </c>
      <c r="G101" s="33" t="s">
        <v>1598</v>
      </c>
      <c r="H101" s="33" t="s">
        <v>2104</v>
      </c>
      <c r="I101" s="34" t="str">
        <f>IF(ISBLANK(A101),"",VLOOKUP(A101,RELACIONES!$G$3:$H$65,2,FALSE()))</f>
        <v>Revoques Enlucido de yeso</v>
      </c>
      <c r="J101" s="35" t="str">
        <f>IF(ISBLANK(A101),"",VLOOKUP(C101,RELACIONES!$A$3:$B$70,2,FALSE))</f>
        <v>Yeso Blanco Betalfa Pescio x40kg</v>
      </c>
      <c r="K101" s="40">
        <f>IF(ISBLANK(A101),"",VLOOKUP(J101,RELACIONES!$B$3:$E$83,4,FALSE)*E101)</f>
        <v>8986.23825</v>
      </c>
    </row>
    <row r="102" ht="15.75" customHeight="1">
      <c r="A102" s="39" t="s">
        <v>2057</v>
      </c>
      <c r="B102" s="31" t="s">
        <v>2095</v>
      </c>
      <c r="C102" s="39" t="s">
        <v>1440</v>
      </c>
      <c r="D102" s="33" t="s">
        <v>2097</v>
      </c>
      <c r="E102" s="32">
        <v>0.013</v>
      </c>
      <c r="F102" s="33" t="s">
        <v>2102</v>
      </c>
      <c r="G102" s="33" t="s">
        <v>1598</v>
      </c>
      <c r="H102" s="41" t="s">
        <v>2112</v>
      </c>
      <c r="I102" s="34" t="str">
        <f>IF(ISBLANK(A102),"",VLOOKUP(A102,RELACIONES!$G$3:$H$65,2,FALSE()))</f>
        <v>Revoques Enlucido de yeso</v>
      </c>
      <c r="J102" s="35" t="str">
        <f>IF(ISBLANK(A102),"",VLOOKUP(C102,RELACIONES!$A$3:$B$70,2,FALSE))</f>
        <v>FRATACHO ABRASIVO (U)</v>
      </c>
      <c r="K102" s="40">
        <f>IF(ISBLANK(A102),"",VLOOKUP(J102,RELACIONES!$B$3:$E$83,4,FALSE)*E102)</f>
        <v>58.5</v>
      </c>
    </row>
    <row r="103" ht="15.75" customHeight="1">
      <c r="A103" s="36"/>
      <c r="B103" s="36"/>
      <c r="C103" s="36"/>
      <c r="D103" s="36"/>
      <c r="E103" s="37"/>
      <c r="F103" s="36"/>
      <c r="G103" s="36"/>
      <c r="H103" s="36"/>
      <c r="I103" s="34" t="str">
        <f>IF(ISBLANK(A103),"",VLOOKUP(A103,RELACIONES!$G$3:$H$65,2,FALSE()))</f>
        <v/>
      </c>
      <c r="J103" s="35" t="str">
        <f>IF(ISBLANK(A103),"",VLOOKUP(C103,RELACIONES!$A$3:$B$70,2,FALSE))</f>
        <v/>
      </c>
      <c r="K103" s="35" t="str">
        <f>IF(ISBLANK(A103),"",VLOOKUP(J103,RELACIONES!$B$3:$E$83,4,FALSE)*E103)</f>
        <v/>
      </c>
    </row>
    <row r="104" ht="15.75" customHeight="1">
      <c r="A104" s="42" t="s">
        <v>2058</v>
      </c>
      <c r="B104" s="43" t="s">
        <v>2095</v>
      </c>
      <c r="C104" s="42" t="s">
        <v>2123</v>
      </c>
      <c r="D104" s="44" t="s">
        <v>2106</v>
      </c>
      <c r="E104" s="45">
        <v>7.5</v>
      </c>
      <c r="F104" s="44" t="s">
        <v>2102</v>
      </c>
      <c r="G104" s="44" t="s">
        <v>2124</v>
      </c>
      <c r="H104" s="44" t="s">
        <v>2104</v>
      </c>
      <c r="I104" s="34" t="str">
        <f>IF(ISBLANK(A104),"",VLOOKUP(A104,RELACIONES!$G$3:$H$65,2,FALSE()))</f>
        <v>Pisos Cerámico, Porcellanato y Loseta Cerámico 60x60</v>
      </c>
      <c r="J104" s="35" t="str">
        <f>IF(ISBLANK(A104),"",VLOOKUP(C104,RELACIONES!$A$3:$B$70,2,FALSE))</f>
        <v>Pegamento para porcellanato x 30kg. Klaukol</v>
      </c>
      <c r="K104" s="40">
        <f>IF(ISBLANK(A104),"",VLOOKUP(J104,RELACIONES!$B$3:$E$83,4,FALSE)*E104)</f>
        <v>10318.7125</v>
      </c>
    </row>
    <row r="105" ht="15.75" customHeight="1">
      <c r="A105" s="42" t="s">
        <v>2058</v>
      </c>
      <c r="B105" s="43" t="s">
        <v>2095</v>
      </c>
      <c r="C105" s="42" t="s">
        <v>2125</v>
      </c>
      <c r="D105" s="44" t="s">
        <v>2106</v>
      </c>
      <c r="E105" s="45">
        <v>0.3</v>
      </c>
      <c r="F105" s="44" t="s">
        <v>2102</v>
      </c>
      <c r="G105" s="44" t="s">
        <v>2124</v>
      </c>
      <c r="H105" s="44" t="s">
        <v>2104</v>
      </c>
      <c r="I105" s="34" t="str">
        <f>IF(ISBLANK(A105),"",VLOOKUP(A105,RELACIONES!$G$3:$H$65,2,FALSE()))</f>
        <v>Pisos Cerámico, Porcellanato y Loseta Cerámico 60x60</v>
      </c>
      <c r="J105" s="35" t="str">
        <f>IF(ISBLANK(A105),"",VLOOKUP(C105,RELACIONES!$A$3:$B$70,2,FALSE))</f>
        <v>Pastina para Porcellanato Klaukol</v>
      </c>
      <c r="K105" s="40">
        <f>IF(ISBLANK(A105),"",VLOOKUP(J105,RELACIONES!$B$3:$E$83,4,FALSE)*E105)</f>
        <v>1348.326</v>
      </c>
    </row>
    <row r="106" ht="15.75" customHeight="1">
      <c r="A106" s="42" t="s">
        <v>2058</v>
      </c>
      <c r="B106" s="43" t="s">
        <v>2095</v>
      </c>
      <c r="C106" s="42" t="s">
        <v>1432</v>
      </c>
      <c r="D106" s="44" t="s">
        <v>2097</v>
      </c>
      <c r="E106" s="45">
        <v>0.04</v>
      </c>
      <c r="F106" s="44" t="s">
        <v>2102</v>
      </c>
      <c r="G106" s="44" t="s">
        <v>2124</v>
      </c>
      <c r="H106" s="46" t="s">
        <v>2112</v>
      </c>
      <c r="I106" s="34" t="str">
        <f>IF(ISBLANK(A106),"",VLOOKUP(A106,RELACIONES!$G$3:$H$65,2,FALSE()))</f>
        <v>Pisos Cerámico, Porcellanato y Loseta Cerámico 60x60</v>
      </c>
      <c r="J106" s="35" t="str">
        <f>IF(ISBLANK(A106),"",VLOOKUP(C106,RELACIONES!$A$3:$B$70,2,FALSE))</f>
        <v>DISCO DE CORTE PARA MAMPOSTERÍA (U)</v>
      </c>
      <c r="K106" s="40">
        <f>IF(ISBLANK(A106),"",VLOOKUP(J106,RELACIONES!$B$3:$E$83,4,FALSE)*E106)</f>
        <v>160</v>
      </c>
    </row>
    <row r="107" ht="15.75" customHeight="1">
      <c r="A107" s="42" t="s">
        <v>2058</v>
      </c>
      <c r="B107" s="43" t="s">
        <v>2095</v>
      </c>
      <c r="C107" s="42" t="s">
        <v>1441</v>
      </c>
      <c r="D107" s="44" t="s">
        <v>2097</v>
      </c>
      <c r="E107" s="45">
        <v>8.0</v>
      </c>
      <c r="F107" s="44" t="s">
        <v>2102</v>
      </c>
      <c r="G107" s="44" t="s">
        <v>2124</v>
      </c>
      <c r="H107" s="46" t="s">
        <v>2112</v>
      </c>
      <c r="I107" s="34" t="str">
        <f>IF(ISBLANK(A107),"",VLOOKUP(A107,RELACIONES!$G$3:$H$65,2,FALSE()))</f>
        <v>Pisos Cerámico, Porcellanato y Loseta Cerámico 60x60</v>
      </c>
      <c r="J107" s="35" t="str">
        <f>IF(ISBLANK(A107),"",VLOOKUP(C107,RELACIONES!$A$3:$B$70,2,FALSE))</f>
        <v>SEPARADORES PORCELANATOS TIPO CUÑA (U)</v>
      </c>
      <c r="K107" s="40">
        <f>IF(ISBLANK(A107),"",VLOOKUP(J107,RELACIONES!$B$3:$E$83,4,FALSE)*E107)</f>
        <v>608</v>
      </c>
    </row>
    <row r="108" ht="15.75" customHeight="1">
      <c r="A108" s="42" t="s">
        <v>2058</v>
      </c>
      <c r="B108" s="43" t="s">
        <v>2095</v>
      </c>
      <c r="C108" s="42" t="s">
        <v>1442</v>
      </c>
      <c r="D108" s="44" t="s">
        <v>2097</v>
      </c>
      <c r="E108" s="45">
        <v>0.01</v>
      </c>
      <c r="F108" s="44" t="s">
        <v>2102</v>
      </c>
      <c r="G108" s="44" t="s">
        <v>2124</v>
      </c>
      <c r="H108" s="46" t="s">
        <v>2112</v>
      </c>
      <c r="I108" s="34" t="str">
        <f>IF(ISBLANK(A108),"",VLOOKUP(A108,RELACIONES!$G$3:$H$65,2,FALSE()))</f>
        <v>Pisos Cerámico, Porcellanato y Loseta Cerámico 60x60</v>
      </c>
      <c r="J108" s="35" t="str">
        <f>IF(ISBLANK(A108),"",VLOOKUP(C108,RELACIONES!$A$3:$B$70,2,FALSE))</f>
        <v>LLANA DENTADA 10MM (U)</v>
      </c>
      <c r="K108" s="40">
        <f>IF(ISBLANK(A108),"",VLOOKUP(J108,RELACIONES!$B$3:$E$83,4,FALSE)*E108)</f>
        <v>123</v>
      </c>
    </row>
    <row r="109" ht="15.75" customHeight="1">
      <c r="A109" s="42" t="s">
        <v>2058</v>
      </c>
      <c r="B109" s="43" t="s">
        <v>2095</v>
      </c>
      <c r="C109" s="42" t="s">
        <v>1438</v>
      </c>
      <c r="D109" s="44" t="s">
        <v>2114</v>
      </c>
      <c r="E109" s="45">
        <v>1.1</v>
      </c>
      <c r="F109" s="44" t="s">
        <v>2102</v>
      </c>
      <c r="G109" s="44" t="s">
        <v>2124</v>
      </c>
      <c r="H109" s="46" t="s">
        <v>2112</v>
      </c>
      <c r="I109" s="34" t="str">
        <f>IF(ISBLANK(A109),"",VLOOKUP(A109,RELACIONES!$G$3:$H$65,2,FALSE()))</f>
        <v>Pisos Cerámico, Porcellanato y Loseta Cerámico 60x60</v>
      </c>
      <c r="J109" s="35" t="str">
        <f>IF(ISBLANK(A109),"",VLOOKUP(C109,RELACIONES!$A$3:$B$70,2,FALSE))</f>
        <v>CARTÓN CORRUGADO (M2)</v>
      </c>
      <c r="K109" s="40">
        <f>IF(ISBLANK(A109),"",VLOOKUP(J109,RELACIONES!$B$3:$E$83,4,FALSE)*E109)</f>
        <v>572</v>
      </c>
    </row>
    <row r="110" ht="15.75" customHeight="1">
      <c r="A110" s="42" t="s">
        <v>2058</v>
      </c>
      <c r="B110" s="43" t="s">
        <v>2095</v>
      </c>
      <c r="C110" s="42" t="s">
        <v>2126</v>
      </c>
      <c r="D110" s="44" t="s">
        <v>2111</v>
      </c>
      <c r="E110" s="45">
        <v>0.3</v>
      </c>
      <c r="F110" s="44" t="s">
        <v>2102</v>
      </c>
      <c r="G110" s="44" t="s">
        <v>2124</v>
      </c>
      <c r="H110" s="46" t="s">
        <v>2112</v>
      </c>
      <c r="I110" s="34" t="str">
        <f>IF(ISBLANK(A110),"",VLOOKUP(A110,RELACIONES!$G$3:$H$65,2,FALSE()))</f>
        <v>Pisos Cerámico, Porcellanato y Loseta Cerámico 60x60</v>
      </c>
      <c r="J110" s="35" t="str">
        <f>IF(ISBLANK(A110),"",VLOOKUP(C110,RELACIONES!$A$3:$B$70,2,FALSE))</f>
        <v>Cinta Papel encubrir 18 mm. x 50 mts</v>
      </c>
      <c r="K110" s="40">
        <f>IF(ISBLANK(A110),"",VLOOKUP(J110,RELACIONES!$B$3:$E$83,4,FALSE)*E110)</f>
        <v>34.52004</v>
      </c>
    </row>
    <row r="111" ht="15.75" customHeight="1">
      <c r="A111" s="36"/>
      <c r="B111" s="36"/>
      <c r="C111" s="36"/>
      <c r="D111" s="36"/>
      <c r="E111" s="37"/>
      <c r="F111" s="36"/>
      <c r="G111" s="36"/>
      <c r="H111" s="36"/>
      <c r="I111" s="34" t="str">
        <f>IF(ISBLANK(A111),"",VLOOKUP(A111,RELACIONES!$G$3:$H$65,2,FALSE()))</f>
        <v/>
      </c>
      <c r="J111" s="35" t="str">
        <f>IF(ISBLANK(A111),"",VLOOKUP(C111,RELACIONES!$A$3:$B$70,2,FALSE))</f>
        <v/>
      </c>
      <c r="K111" s="35" t="str">
        <f>IF(ISBLANK(A111),"",VLOOKUP(J111,RELACIONES!$B$3:$E$83,4,FALSE)*E111)</f>
        <v/>
      </c>
    </row>
    <row r="112" ht="15.75" customHeight="1">
      <c r="A112" s="39" t="s">
        <v>2059</v>
      </c>
      <c r="B112" s="31" t="s">
        <v>2095</v>
      </c>
      <c r="C112" s="39" t="s">
        <v>2127</v>
      </c>
      <c r="D112" s="33" t="s">
        <v>2106</v>
      </c>
      <c r="E112" s="32">
        <v>7.5</v>
      </c>
      <c r="F112" s="33" t="s">
        <v>2102</v>
      </c>
      <c r="G112" s="33" t="s">
        <v>2124</v>
      </c>
      <c r="H112" s="33" t="s">
        <v>2104</v>
      </c>
      <c r="I112" s="34" t="str">
        <f>IF(ISBLANK(A112),"",VLOOKUP(A112,RELACIONES!$G$3:$H$65,2,FALSE()))</f>
        <v>Pisos Cerámico, Porcellanato y Loseta Cerámico 60x60</v>
      </c>
      <c r="J112" s="35" t="str">
        <f>IF(ISBLANK(A112),"",VLOOKUP(C112,RELACIONES!$A$3:$B$70,2,FALSE))</f>
        <v>Pegamento para porcellanato x 30kg. Klaukol</v>
      </c>
      <c r="K112" s="40">
        <f>IF(ISBLANK(A112),"",VLOOKUP(J112,RELACIONES!$B$3:$E$83,4,FALSE)*E112)</f>
        <v>10318.7125</v>
      </c>
    </row>
    <row r="113" ht="15.75" customHeight="1">
      <c r="A113" s="39" t="s">
        <v>2059</v>
      </c>
      <c r="B113" s="31" t="s">
        <v>2095</v>
      </c>
      <c r="C113" s="39" t="s">
        <v>2125</v>
      </c>
      <c r="D113" s="33" t="s">
        <v>2106</v>
      </c>
      <c r="E113" s="32">
        <v>0.3</v>
      </c>
      <c r="F113" s="33" t="s">
        <v>2102</v>
      </c>
      <c r="G113" s="33" t="s">
        <v>2124</v>
      </c>
      <c r="H113" s="33" t="s">
        <v>2104</v>
      </c>
      <c r="I113" s="34" t="str">
        <f>IF(ISBLANK(A113),"",VLOOKUP(A113,RELACIONES!$G$3:$H$65,2,FALSE()))</f>
        <v>Pisos Cerámico, Porcellanato y Loseta Cerámico 60x60</v>
      </c>
      <c r="J113" s="35" t="str">
        <f>IF(ISBLANK(A113),"",VLOOKUP(C113,RELACIONES!$A$3:$B$70,2,FALSE))</f>
        <v>Pastina para Porcellanato Klaukol</v>
      </c>
      <c r="K113" s="40">
        <f>IF(ISBLANK(A113),"",VLOOKUP(J113,RELACIONES!$B$3:$E$83,4,FALSE)*E113)</f>
        <v>1348.326</v>
      </c>
    </row>
    <row r="114" ht="15.75" customHeight="1">
      <c r="A114" s="39" t="s">
        <v>2059</v>
      </c>
      <c r="B114" s="31" t="s">
        <v>2095</v>
      </c>
      <c r="C114" s="39" t="s">
        <v>1432</v>
      </c>
      <c r="D114" s="33" t="s">
        <v>2097</v>
      </c>
      <c r="E114" s="32">
        <v>0.04</v>
      </c>
      <c r="F114" s="33" t="s">
        <v>2102</v>
      </c>
      <c r="G114" s="33" t="s">
        <v>2124</v>
      </c>
      <c r="H114" s="41" t="s">
        <v>2112</v>
      </c>
      <c r="I114" s="34" t="str">
        <f>IF(ISBLANK(A114),"",VLOOKUP(A114,RELACIONES!$G$3:$H$65,2,FALSE()))</f>
        <v>Pisos Cerámico, Porcellanato y Loseta Cerámico 60x60</v>
      </c>
      <c r="J114" s="35" t="str">
        <f>IF(ISBLANK(A114),"",VLOOKUP(C114,RELACIONES!$A$3:$B$70,2,FALSE))</f>
        <v>DISCO DE CORTE PARA MAMPOSTERÍA (U)</v>
      </c>
      <c r="K114" s="40">
        <f>IF(ISBLANK(A114),"",VLOOKUP(J114,RELACIONES!$B$3:$E$83,4,FALSE)*E114)</f>
        <v>160</v>
      </c>
    </row>
    <row r="115" ht="15.75" customHeight="1">
      <c r="A115" s="39" t="s">
        <v>2059</v>
      </c>
      <c r="B115" s="31" t="s">
        <v>2095</v>
      </c>
      <c r="C115" s="39" t="s">
        <v>1441</v>
      </c>
      <c r="D115" s="33" t="s">
        <v>2097</v>
      </c>
      <c r="E115" s="32">
        <v>8.0</v>
      </c>
      <c r="F115" s="33" t="s">
        <v>2102</v>
      </c>
      <c r="G115" s="33" t="s">
        <v>2124</v>
      </c>
      <c r="H115" s="41" t="s">
        <v>2112</v>
      </c>
      <c r="I115" s="34" t="str">
        <f>IF(ISBLANK(A115),"",VLOOKUP(A115,RELACIONES!$G$3:$H$65,2,FALSE()))</f>
        <v>Pisos Cerámico, Porcellanato y Loseta Cerámico 60x60</v>
      </c>
      <c r="J115" s="35" t="str">
        <f>IF(ISBLANK(A115),"",VLOOKUP(C115,RELACIONES!$A$3:$B$70,2,FALSE))</f>
        <v>SEPARADORES PORCELANATOS TIPO CUÑA (U)</v>
      </c>
      <c r="K115" s="40">
        <f>IF(ISBLANK(A115),"",VLOOKUP(J115,RELACIONES!$B$3:$E$83,4,FALSE)*E115)</f>
        <v>608</v>
      </c>
    </row>
    <row r="116" ht="15.75" customHeight="1">
      <c r="A116" s="39" t="s">
        <v>2059</v>
      </c>
      <c r="B116" s="31" t="s">
        <v>2095</v>
      </c>
      <c r="C116" s="39" t="s">
        <v>1442</v>
      </c>
      <c r="D116" s="33" t="s">
        <v>2097</v>
      </c>
      <c r="E116" s="32">
        <v>0.01</v>
      </c>
      <c r="F116" s="33" t="s">
        <v>2102</v>
      </c>
      <c r="G116" s="33" t="s">
        <v>2124</v>
      </c>
      <c r="H116" s="41" t="s">
        <v>2112</v>
      </c>
      <c r="I116" s="34" t="str">
        <f>IF(ISBLANK(A116),"",VLOOKUP(A116,RELACIONES!$G$3:$H$65,2,FALSE()))</f>
        <v>Pisos Cerámico, Porcellanato y Loseta Cerámico 60x60</v>
      </c>
      <c r="J116" s="35" t="str">
        <f>IF(ISBLANK(A116),"",VLOOKUP(C116,RELACIONES!$A$3:$B$70,2,FALSE))</f>
        <v>LLANA DENTADA 10MM (U)</v>
      </c>
      <c r="K116" s="40">
        <f>IF(ISBLANK(A116),"",VLOOKUP(J116,RELACIONES!$B$3:$E$83,4,FALSE)*E116)</f>
        <v>123</v>
      </c>
    </row>
    <row r="117" ht="15.75" customHeight="1">
      <c r="A117" s="39" t="s">
        <v>2059</v>
      </c>
      <c r="B117" s="31" t="s">
        <v>2095</v>
      </c>
      <c r="C117" s="39" t="s">
        <v>1438</v>
      </c>
      <c r="D117" s="33" t="s">
        <v>2114</v>
      </c>
      <c r="E117" s="32">
        <v>1.1</v>
      </c>
      <c r="F117" s="33" t="s">
        <v>2102</v>
      </c>
      <c r="G117" s="33" t="s">
        <v>2124</v>
      </c>
      <c r="H117" s="41" t="s">
        <v>2112</v>
      </c>
      <c r="I117" s="34" t="str">
        <f>IF(ISBLANK(A117),"",VLOOKUP(A117,RELACIONES!$G$3:$H$65,2,FALSE()))</f>
        <v>Pisos Cerámico, Porcellanato y Loseta Cerámico 60x60</v>
      </c>
      <c r="J117" s="35" t="str">
        <f>IF(ISBLANK(A117),"",VLOOKUP(C117,RELACIONES!$A$3:$B$70,2,FALSE))</f>
        <v>CARTÓN CORRUGADO (M2)</v>
      </c>
      <c r="K117" s="40">
        <f>IF(ISBLANK(A117),"",VLOOKUP(J117,RELACIONES!$B$3:$E$83,4,FALSE)*E117)</f>
        <v>572</v>
      </c>
    </row>
    <row r="118" ht="15.75" customHeight="1">
      <c r="A118" s="39" t="s">
        <v>2059</v>
      </c>
      <c r="B118" s="31" t="s">
        <v>2095</v>
      </c>
      <c r="C118" s="39" t="s">
        <v>2126</v>
      </c>
      <c r="D118" s="33" t="s">
        <v>2111</v>
      </c>
      <c r="E118" s="32">
        <v>0.3</v>
      </c>
      <c r="F118" s="33" t="s">
        <v>2102</v>
      </c>
      <c r="G118" s="33" t="s">
        <v>2124</v>
      </c>
      <c r="H118" s="41" t="s">
        <v>2112</v>
      </c>
      <c r="I118" s="34" t="str">
        <f>IF(ISBLANK(A118),"",VLOOKUP(A118,RELACIONES!$G$3:$H$65,2,FALSE()))</f>
        <v>Pisos Cerámico, Porcellanato y Loseta Cerámico 60x60</v>
      </c>
      <c r="J118" s="35" t="str">
        <f>IF(ISBLANK(A118),"",VLOOKUP(C118,RELACIONES!$A$3:$B$70,2,FALSE))</f>
        <v>Cinta Papel encubrir 18 mm. x 50 mts</v>
      </c>
      <c r="K118" s="40">
        <f>IF(ISBLANK(A118),"",VLOOKUP(J118,RELACIONES!$B$3:$E$83,4,FALSE)*E118)</f>
        <v>34.52004</v>
      </c>
    </row>
    <row r="119" ht="15.75" customHeight="1">
      <c r="A119" s="36"/>
      <c r="B119" s="36"/>
      <c r="C119" s="36"/>
      <c r="D119" s="36"/>
      <c r="E119" s="37"/>
      <c r="F119" s="36"/>
      <c r="G119" s="36"/>
      <c r="H119" s="36"/>
      <c r="I119" s="34" t="str">
        <f>IF(ISBLANK(A119),"",VLOOKUP(A119,RELACIONES!$G$3:$H$65,2,FALSE()))</f>
        <v/>
      </c>
      <c r="J119" s="35" t="str">
        <f>IF(ISBLANK(A119),"",VLOOKUP(C119,RELACIONES!$A$3:$B$70,2,FALSE))</f>
        <v/>
      </c>
      <c r="K119" s="35" t="str">
        <f>IF(ISBLANK(A119),"",VLOOKUP(J119,RELACIONES!$B$3:$E$83,4,FALSE)*E119)</f>
        <v/>
      </c>
    </row>
    <row r="120" ht="15.75" customHeight="1">
      <c r="A120" s="42" t="s">
        <v>2060</v>
      </c>
      <c r="B120" s="43" t="s">
        <v>2095</v>
      </c>
      <c r="C120" s="42" t="s">
        <v>2123</v>
      </c>
      <c r="D120" s="44" t="s">
        <v>2106</v>
      </c>
      <c r="E120" s="45">
        <v>7.5</v>
      </c>
      <c r="F120" s="44" t="s">
        <v>2102</v>
      </c>
      <c r="G120" s="44" t="s">
        <v>2124</v>
      </c>
      <c r="H120" s="44" t="s">
        <v>2104</v>
      </c>
      <c r="I120" s="34" t="str">
        <f>IF(ISBLANK(A120),"",VLOOKUP(A120,RELACIONES!$G$3:$H$65,2,FALSE()))</f>
        <v>Pisos Cerámico, Porcellanato y Loseta Porcellanato 60x60</v>
      </c>
      <c r="J120" s="35" t="str">
        <f>IF(ISBLANK(A120),"",VLOOKUP(C120,RELACIONES!$A$3:$B$70,2,FALSE))</f>
        <v>Pegamento para porcellanato x 30kg. Klaukol</v>
      </c>
      <c r="K120" s="40">
        <f>IF(ISBLANK(A120),"",VLOOKUP(J120,RELACIONES!$B$3:$E$83,4,FALSE)*E120)</f>
        <v>10318.7125</v>
      </c>
    </row>
    <row r="121" ht="15.75" customHeight="1">
      <c r="A121" s="42" t="s">
        <v>2060</v>
      </c>
      <c r="B121" s="43" t="s">
        <v>2095</v>
      </c>
      <c r="C121" s="42" t="s">
        <v>2125</v>
      </c>
      <c r="D121" s="44" t="s">
        <v>2106</v>
      </c>
      <c r="E121" s="45">
        <v>0.3</v>
      </c>
      <c r="F121" s="44" t="s">
        <v>2102</v>
      </c>
      <c r="G121" s="44" t="s">
        <v>2124</v>
      </c>
      <c r="H121" s="44" t="s">
        <v>2104</v>
      </c>
      <c r="I121" s="34" t="str">
        <f>IF(ISBLANK(A121),"",VLOOKUP(A121,RELACIONES!$G$3:$H$65,2,FALSE()))</f>
        <v>Pisos Cerámico, Porcellanato y Loseta Porcellanato 60x60</v>
      </c>
      <c r="J121" s="35" t="str">
        <f>IF(ISBLANK(A121),"",VLOOKUP(C121,RELACIONES!$A$3:$B$70,2,FALSE))</f>
        <v>Pastina para Porcellanato Klaukol</v>
      </c>
      <c r="K121" s="40">
        <f>IF(ISBLANK(A121),"",VLOOKUP(J121,RELACIONES!$B$3:$E$83,4,FALSE)*E121)</f>
        <v>1348.326</v>
      </c>
    </row>
    <row r="122" ht="15.75" customHeight="1">
      <c r="A122" s="42" t="s">
        <v>2060</v>
      </c>
      <c r="B122" s="43" t="s">
        <v>2095</v>
      </c>
      <c r="C122" s="42" t="s">
        <v>1443</v>
      </c>
      <c r="D122" s="44" t="s">
        <v>2097</v>
      </c>
      <c r="E122" s="45">
        <v>0.04</v>
      </c>
      <c r="F122" s="44" t="s">
        <v>2102</v>
      </c>
      <c r="G122" s="44" t="s">
        <v>2124</v>
      </c>
      <c r="H122" s="46" t="s">
        <v>2112</v>
      </c>
      <c r="I122" s="34" t="str">
        <f>IF(ISBLANK(A122),"",VLOOKUP(A122,RELACIONES!$G$3:$H$65,2,FALSE()))</f>
        <v>Pisos Cerámico, Porcellanato y Loseta Porcellanato 60x60</v>
      </c>
      <c r="J122" s="35" t="str">
        <f>IF(ISBLANK(A122),"",VLOOKUP(C122,RELACIONES!$A$3:$B$70,2,FALSE))</f>
        <v>DISCO DIAMANTADO PARA PORCELANATO (U)</v>
      </c>
      <c r="K122" s="40">
        <f>IF(ISBLANK(A122),"",VLOOKUP(J122,RELACIONES!$B$3:$E$83,4,FALSE)*E122)</f>
        <v>960</v>
      </c>
    </row>
    <row r="123" ht="15.75" customHeight="1">
      <c r="A123" s="42" t="s">
        <v>2060</v>
      </c>
      <c r="B123" s="43" t="s">
        <v>2095</v>
      </c>
      <c r="C123" s="42" t="s">
        <v>1441</v>
      </c>
      <c r="D123" s="44" t="s">
        <v>2097</v>
      </c>
      <c r="E123" s="45">
        <v>8.0</v>
      </c>
      <c r="F123" s="44" t="s">
        <v>2102</v>
      </c>
      <c r="G123" s="44" t="s">
        <v>2124</v>
      </c>
      <c r="H123" s="46" t="s">
        <v>2112</v>
      </c>
      <c r="I123" s="34" t="str">
        <f>IF(ISBLANK(A123),"",VLOOKUP(A123,RELACIONES!$G$3:$H$65,2,FALSE()))</f>
        <v>Pisos Cerámico, Porcellanato y Loseta Porcellanato 60x60</v>
      </c>
      <c r="J123" s="35" t="str">
        <f>IF(ISBLANK(A123),"",VLOOKUP(C123,RELACIONES!$A$3:$B$70,2,FALSE))</f>
        <v>SEPARADORES PORCELANATOS TIPO CUÑA (U)</v>
      </c>
      <c r="K123" s="40">
        <f>IF(ISBLANK(A123),"",VLOOKUP(J123,RELACIONES!$B$3:$E$83,4,FALSE)*E123)</f>
        <v>608</v>
      </c>
    </row>
    <row r="124" ht="15.75" customHeight="1">
      <c r="A124" s="42" t="s">
        <v>2060</v>
      </c>
      <c r="B124" s="43" t="s">
        <v>2095</v>
      </c>
      <c r="C124" s="42" t="s">
        <v>1442</v>
      </c>
      <c r="D124" s="44" t="s">
        <v>2097</v>
      </c>
      <c r="E124" s="45">
        <v>0.01</v>
      </c>
      <c r="F124" s="44" t="s">
        <v>2102</v>
      </c>
      <c r="G124" s="44" t="s">
        <v>2124</v>
      </c>
      <c r="H124" s="46" t="s">
        <v>2112</v>
      </c>
      <c r="I124" s="34" t="str">
        <f>IF(ISBLANK(A124),"",VLOOKUP(A124,RELACIONES!$G$3:$H$65,2,FALSE()))</f>
        <v>Pisos Cerámico, Porcellanato y Loseta Porcellanato 60x60</v>
      </c>
      <c r="J124" s="35" t="str">
        <f>IF(ISBLANK(A124),"",VLOOKUP(C124,RELACIONES!$A$3:$B$70,2,FALSE))</f>
        <v>LLANA DENTADA 10MM (U)</v>
      </c>
      <c r="K124" s="40">
        <f>IF(ISBLANK(A124),"",VLOOKUP(J124,RELACIONES!$B$3:$E$83,4,FALSE)*E124)</f>
        <v>123</v>
      </c>
    </row>
    <row r="125" ht="15.75" customHeight="1">
      <c r="A125" s="42" t="s">
        <v>2060</v>
      </c>
      <c r="B125" s="43" t="s">
        <v>2095</v>
      </c>
      <c r="C125" s="42" t="s">
        <v>1438</v>
      </c>
      <c r="D125" s="44" t="s">
        <v>2114</v>
      </c>
      <c r="E125" s="45">
        <v>1.1</v>
      </c>
      <c r="F125" s="44" t="s">
        <v>2102</v>
      </c>
      <c r="G125" s="44" t="s">
        <v>2124</v>
      </c>
      <c r="H125" s="46" t="s">
        <v>2112</v>
      </c>
      <c r="I125" s="34" t="str">
        <f>IF(ISBLANK(A125),"",VLOOKUP(A125,RELACIONES!$G$3:$H$65,2,FALSE()))</f>
        <v>Pisos Cerámico, Porcellanato y Loseta Porcellanato 60x60</v>
      </c>
      <c r="J125" s="35" t="str">
        <f>IF(ISBLANK(A125),"",VLOOKUP(C125,RELACIONES!$A$3:$B$70,2,FALSE))</f>
        <v>CARTÓN CORRUGADO (M2)</v>
      </c>
      <c r="K125" s="40">
        <f>IF(ISBLANK(A125),"",VLOOKUP(J125,RELACIONES!$B$3:$E$83,4,FALSE)*E125)</f>
        <v>572</v>
      </c>
    </row>
    <row r="126" ht="15.75" customHeight="1">
      <c r="A126" s="42" t="s">
        <v>2060</v>
      </c>
      <c r="B126" s="43" t="s">
        <v>2095</v>
      </c>
      <c r="C126" s="42" t="s">
        <v>2126</v>
      </c>
      <c r="D126" s="44" t="s">
        <v>2111</v>
      </c>
      <c r="E126" s="45">
        <v>0.3</v>
      </c>
      <c r="F126" s="44" t="s">
        <v>2102</v>
      </c>
      <c r="G126" s="44" t="s">
        <v>2124</v>
      </c>
      <c r="H126" s="46" t="s">
        <v>2112</v>
      </c>
      <c r="I126" s="34" t="str">
        <f>IF(ISBLANK(A126),"",VLOOKUP(A126,RELACIONES!$G$3:$H$65,2,FALSE()))</f>
        <v>Pisos Cerámico, Porcellanato y Loseta Porcellanato 60x60</v>
      </c>
      <c r="J126" s="35" t="str">
        <f>IF(ISBLANK(A126),"",VLOOKUP(C126,RELACIONES!$A$3:$B$70,2,FALSE))</f>
        <v>Cinta Papel encubrir 18 mm. x 50 mts</v>
      </c>
      <c r="K126" s="40">
        <f>IF(ISBLANK(A126),"",VLOOKUP(J126,RELACIONES!$B$3:$E$83,4,FALSE)*E126)</f>
        <v>34.52004</v>
      </c>
    </row>
    <row r="127" ht="15.75" customHeight="1">
      <c r="A127" s="36"/>
      <c r="B127" s="36"/>
      <c r="C127" s="36"/>
      <c r="D127" s="36"/>
      <c r="E127" s="37"/>
      <c r="F127" s="36"/>
      <c r="G127" s="36"/>
      <c r="H127" s="36"/>
      <c r="I127" s="34" t="str">
        <f>IF(ISBLANK(A127),"",VLOOKUP(A127,RELACIONES!$G$3:$H$65,2,FALSE()))</f>
        <v/>
      </c>
      <c r="J127" s="35" t="str">
        <f>IF(ISBLANK(A127),"",VLOOKUP(C127,RELACIONES!$A$3:$B$70,2,FALSE))</f>
        <v/>
      </c>
      <c r="K127" s="35" t="str">
        <f>IF(ISBLANK(A127),"",VLOOKUP(J127,RELACIONES!$B$3:$E$83,4,FALSE)*E127)</f>
        <v/>
      </c>
    </row>
    <row r="128" ht="15.75" customHeight="1">
      <c r="A128" s="39" t="s">
        <v>2061</v>
      </c>
      <c r="B128" s="31" t="s">
        <v>2095</v>
      </c>
      <c r="C128" s="39" t="s">
        <v>2127</v>
      </c>
      <c r="D128" s="33" t="s">
        <v>2106</v>
      </c>
      <c r="E128" s="32">
        <v>7.5</v>
      </c>
      <c r="F128" s="33" t="s">
        <v>2102</v>
      </c>
      <c r="G128" s="33" t="s">
        <v>2124</v>
      </c>
      <c r="H128" s="33" t="s">
        <v>2104</v>
      </c>
      <c r="I128" s="34" t="str">
        <f>IF(ISBLANK(A128),"",VLOOKUP(A128,RELACIONES!$G$3:$H$65,2,FALSE()))</f>
        <v>Pisos Cerámico, Porcellanato y Loseta Porcellanato 60x60</v>
      </c>
      <c r="J128" s="35" t="str">
        <f>IF(ISBLANK(A128),"",VLOOKUP(C128,RELACIONES!$A$3:$B$70,2,FALSE))</f>
        <v>Pegamento para porcellanato x 30kg. Klaukol</v>
      </c>
      <c r="K128" s="40">
        <f>IF(ISBLANK(A128),"",VLOOKUP(J128,RELACIONES!$B$3:$E$83,4,FALSE)*E128)</f>
        <v>10318.7125</v>
      </c>
    </row>
    <row r="129" ht="15.75" customHeight="1">
      <c r="A129" s="39" t="s">
        <v>2061</v>
      </c>
      <c r="B129" s="31" t="s">
        <v>2095</v>
      </c>
      <c r="C129" s="39" t="s">
        <v>2125</v>
      </c>
      <c r="D129" s="33" t="s">
        <v>2106</v>
      </c>
      <c r="E129" s="32">
        <v>0.3</v>
      </c>
      <c r="F129" s="33" t="s">
        <v>2102</v>
      </c>
      <c r="G129" s="33" t="s">
        <v>2124</v>
      </c>
      <c r="H129" s="33" t="s">
        <v>2104</v>
      </c>
      <c r="I129" s="34" t="str">
        <f>IF(ISBLANK(A129),"",VLOOKUP(A129,RELACIONES!$G$3:$H$65,2,FALSE()))</f>
        <v>Pisos Cerámico, Porcellanato y Loseta Porcellanato 60x60</v>
      </c>
      <c r="J129" s="35" t="str">
        <f>IF(ISBLANK(A129),"",VLOOKUP(C129,RELACIONES!$A$3:$B$70,2,FALSE))</f>
        <v>Pastina para Porcellanato Klaukol</v>
      </c>
      <c r="K129" s="40">
        <f>IF(ISBLANK(A129),"",VLOOKUP(J129,RELACIONES!$B$3:$E$83,4,FALSE)*E129)</f>
        <v>1348.326</v>
      </c>
    </row>
    <row r="130" ht="15.75" customHeight="1">
      <c r="A130" s="39" t="s">
        <v>2061</v>
      </c>
      <c r="B130" s="31" t="s">
        <v>2095</v>
      </c>
      <c r="C130" s="39" t="s">
        <v>1443</v>
      </c>
      <c r="D130" s="33" t="s">
        <v>2097</v>
      </c>
      <c r="E130" s="32">
        <v>0.04</v>
      </c>
      <c r="F130" s="33" t="s">
        <v>2102</v>
      </c>
      <c r="G130" s="33" t="s">
        <v>2124</v>
      </c>
      <c r="H130" s="41" t="s">
        <v>2112</v>
      </c>
      <c r="I130" s="34" t="str">
        <f>IF(ISBLANK(A130),"",VLOOKUP(A130,RELACIONES!$G$3:$H$65,2,FALSE()))</f>
        <v>Pisos Cerámico, Porcellanato y Loseta Porcellanato 60x60</v>
      </c>
      <c r="J130" s="35" t="str">
        <f>IF(ISBLANK(A130),"",VLOOKUP(C130,RELACIONES!$A$3:$B$70,2,FALSE))</f>
        <v>DISCO DIAMANTADO PARA PORCELANATO (U)</v>
      </c>
      <c r="K130" s="40">
        <f>IF(ISBLANK(A130),"",VLOOKUP(J130,RELACIONES!$B$3:$E$83,4,FALSE)*E130)</f>
        <v>960</v>
      </c>
    </row>
    <row r="131" ht="15.75" customHeight="1">
      <c r="A131" s="39" t="s">
        <v>2061</v>
      </c>
      <c r="B131" s="31" t="s">
        <v>2095</v>
      </c>
      <c r="C131" s="39" t="s">
        <v>1441</v>
      </c>
      <c r="D131" s="33" t="s">
        <v>2097</v>
      </c>
      <c r="E131" s="32">
        <v>8.0</v>
      </c>
      <c r="F131" s="33" t="s">
        <v>2102</v>
      </c>
      <c r="G131" s="33" t="s">
        <v>2124</v>
      </c>
      <c r="H131" s="41" t="s">
        <v>2112</v>
      </c>
      <c r="I131" s="34" t="str">
        <f>IF(ISBLANK(A131),"",VLOOKUP(A131,RELACIONES!$G$3:$H$65,2,FALSE()))</f>
        <v>Pisos Cerámico, Porcellanato y Loseta Porcellanato 60x60</v>
      </c>
      <c r="J131" s="35" t="str">
        <f>IF(ISBLANK(A131),"",VLOOKUP(C131,RELACIONES!$A$3:$B$70,2,FALSE))</f>
        <v>SEPARADORES PORCELANATOS TIPO CUÑA (U)</v>
      </c>
      <c r="K131" s="40">
        <f>IF(ISBLANK(A131),"",VLOOKUP(J131,RELACIONES!$B$3:$E$83,4,FALSE)*E131)</f>
        <v>608</v>
      </c>
    </row>
    <row r="132" ht="15.75" customHeight="1">
      <c r="A132" s="39" t="s">
        <v>2061</v>
      </c>
      <c r="B132" s="31" t="s">
        <v>2095</v>
      </c>
      <c r="C132" s="39" t="s">
        <v>1442</v>
      </c>
      <c r="D132" s="33" t="s">
        <v>2097</v>
      </c>
      <c r="E132" s="32">
        <v>0.01</v>
      </c>
      <c r="F132" s="33" t="s">
        <v>2102</v>
      </c>
      <c r="G132" s="33" t="s">
        <v>2124</v>
      </c>
      <c r="H132" s="41" t="s">
        <v>2112</v>
      </c>
      <c r="I132" s="34" t="str">
        <f>IF(ISBLANK(A132),"",VLOOKUP(A132,RELACIONES!$G$3:$H$65,2,FALSE()))</f>
        <v>Pisos Cerámico, Porcellanato y Loseta Porcellanato 60x60</v>
      </c>
      <c r="J132" s="35" t="str">
        <f>IF(ISBLANK(A132),"",VLOOKUP(C132,RELACIONES!$A$3:$B$70,2,FALSE))</f>
        <v>LLANA DENTADA 10MM (U)</v>
      </c>
      <c r="K132" s="40">
        <f>IF(ISBLANK(A132),"",VLOOKUP(J132,RELACIONES!$B$3:$E$83,4,FALSE)*E132)</f>
        <v>123</v>
      </c>
    </row>
    <row r="133" ht="15.75" customHeight="1">
      <c r="A133" s="39" t="s">
        <v>2061</v>
      </c>
      <c r="B133" s="31" t="s">
        <v>2095</v>
      </c>
      <c r="C133" s="39" t="s">
        <v>1438</v>
      </c>
      <c r="D133" s="33" t="s">
        <v>2114</v>
      </c>
      <c r="E133" s="32">
        <v>1.1</v>
      </c>
      <c r="F133" s="33" t="s">
        <v>2102</v>
      </c>
      <c r="G133" s="33" t="s">
        <v>2124</v>
      </c>
      <c r="H133" s="41" t="s">
        <v>2112</v>
      </c>
      <c r="I133" s="34" t="str">
        <f>IF(ISBLANK(A133),"",VLOOKUP(A133,RELACIONES!$G$3:$H$65,2,FALSE()))</f>
        <v>Pisos Cerámico, Porcellanato y Loseta Porcellanato 60x60</v>
      </c>
      <c r="J133" s="35" t="str">
        <f>IF(ISBLANK(A133),"",VLOOKUP(C133,RELACIONES!$A$3:$B$70,2,FALSE))</f>
        <v>CARTÓN CORRUGADO (M2)</v>
      </c>
      <c r="K133" s="40">
        <f>IF(ISBLANK(A133),"",VLOOKUP(J133,RELACIONES!$B$3:$E$83,4,FALSE)*E133)</f>
        <v>572</v>
      </c>
    </row>
    <row r="134" ht="15.75" customHeight="1">
      <c r="A134" s="39" t="s">
        <v>2061</v>
      </c>
      <c r="B134" s="31" t="s">
        <v>2095</v>
      </c>
      <c r="C134" s="39" t="s">
        <v>2126</v>
      </c>
      <c r="D134" s="33" t="s">
        <v>2111</v>
      </c>
      <c r="E134" s="32">
        <v>0.3</v>
      </c>
      <c r="F134" s="33" t="s">
        <v>2102</v>
      </c>
      <c r="G134" s="33" t="s">
        <v>2124</v>
      </c>
      <c r="H134" s="41" t="s">
        <v>2112</v>
      </c>
      <c r="I134" s="34" t="str">
        <f>IF(ISBLANK(A134),"",VLOOKUP(A134,RELACIONES!$G$3:$H$65,2,FALSE()))</f>
        <v>Pisos Cerámico, Porcellanato y Loseta Porcellanato 60x60</v>
      </c>
      <c r="J134" s="35" t="str">
        <f>IF(ISBLANK(A134),"",VLOOKUP(C134,RELACIONES!$A$3:$B$70,2,FALSE))</f>
        <v>Cinta Papel encubrir 18 mm. x 50 mts</v>
      </c>
      <c r="K134" s="40">
        <f>IF(ISBLANK(A134),"",VLOOKUP(J134,RELACIONES!$B$3:$E$83,4,FALSE)*E134)</f>
        <v>34.52004</v>
      </c>
    </row>
    <row r="135" ht="15.75" customHeight="1">
      <c r="A135" s="36"/>
      <c r="B135" s="36"/>
      <c r="C135" s="36"/>
      <c r="D135" s="36"/>
      <c r="E135" s="37"/>
      <c r="F135" s="36"/>
      <c r="G135" s="36"/>
      <c r="H135" s="36"/>
      <c r="I135" s="34" t="str">
        <f>IF(ISBLANK(A135),"",VLOOKUP(A135,RELACIONES!$G$3:$H$65,2,FALSE()))</f>
        <v/>
      </c>
      <c r="J135" s="35" t="str">
        <f>IF(ISBLANK(A135),"",VLOOKUP(C135,RELACIONES!$A$3:$B$70,2,FALSE))</f>
        <v/>
      </c>
      <c r="K135" s="35" t="str">
        <f>IF(ISBLANK(A135),"",VLOOKUP(J135,RELACIONES!$B$3:$E$83,4,FALSE)*E135)</f>
        <v/>
      </c>
    </row>
    <row r="136" ht="15.75" customHeight="1">
      <c r="A136" s="42" t="s">
        <v>2062</v>
      </c>
      <c r="B136" s="43" t="s">
        <v>2095</v>
      </c>
      <c r="C136" s="42" t="s">
        <v>2123</v>
      </c>
      <c r="D136" s="44" t="s">
        <v>2106</v>
      </c>
      <c r="E136" s="45">
        <v>7.5</v>
      </c>
      <c r="F136" s="44" t="s">
        <v>2102</v>
      </c>
      <c r="G136" s="44" t="s">
        <v>2124</v>
      </c>
      <c r="H136" s="44" t="s">
        <v>2104</v>
      </c>
      <c r="I136" s="34" t="str">
        <f>IF(ISBLANK(A136),"",VLOOKUP(A136,RELACIONES!$G$3:$H$65,2,FALSE()))</f>
        <v>Revestimientos Cerámico, Porcellanato, Venecita y Refractario Cerámico 60x60</v>
      </c>
      <c r="J136" s="35" t="str">
        <f>IF(ISBLANK(A136),"",VLOOKUP(C136,RELACIONES!$A$3:$B$70,2,FALSE))</f>
        <v>Pegamento para porcellanato x 30kg. Klaukol</v>
      </c>
      <c r="K136" s="40">
        <f>IF(ISBLANK(A136),"",VLOOKUP(J136,RELACIONES!$B$3:$E$83,4,FALSE)*E136)</f>
        <v>10318.7125</v>
      </c>
    </row>
    <row r="137" ht="15.75" customHeight="1">
      <c r="A137" s="42" t="s">
        <v>2062</v>
      </c>
      <c r="B137" s="43" t="s">
        <v>2095</v>
      </c>
      <c r="C137" s="42" t="s">
        <v>2125</v>
      </c>
      <c r="D137" s="44" t="s">
        <v>2106</v>
      </c>
      <c r="E137" s="45">
        <v>0.3</v>
      </c>
      <c r="F137" s="44" t="s">
        <v>2102</v>
      </c>
      <c r="G137" s="44" t="s">
        <v>2124</v>
      </c>
      <c r="H137" s="44" t="s">
        <v>2104</v>
      </c>
      <c r="I137" s="34" t="str">
        <f>IF(ISBLANK(A137),"",VLOOKUP(A137,RELACIONES!$G$3:$H$65,2,FALSE()))</f>
        <v>Revestimientos Cerámico, Porcellanato, Venecita y Refractario Cerámico 60x60</v>
      </c>
      <c r="J137" s="35" t="str">
        <f>IF(ISBLANK(A137),"",VLOOKUP(C137,RELACIONES!$A$3:$B$70,2,FALSE))</f>
        <v>Pastina para Porcellanato Klaukol</v>
      </c>
      <c r="K137" s="40">
        <f>IF(ISBLANK(A137),"",VLOOKUP(J137,RELACIONES!$B$3:$E$83,4,FALSE)*E137)</f>
        <v>1348.326</v>
      </c>
    </row>
    <row r="138" ht="15.75" customHeight="1">
      <c r="A138" s="42" t="s">
        <v>2062</v>
      </c>
      <c r="B138" s="43" t="s">
        <v>2095</v>
      </c>
      <c r="C138" s="42" t="s">
        <v>1432</v>
      </c>
      <c r="D138" s="44" t="s">
        <v>2097</v>
      </c>
      <c r="E138" s="45">
        <v>0.04</v>
      </c>
      <c r="F138" s="44" t="s">
        <v>2102</v>
      </c>
      <c r="G138" s="44" t="s">
        <v>2124</v>
      </c>
      <c r="H138" s="46" t="s">
        <v>2112</v>
      </c>
      <c r="I138" s="34" t="str">
        <f>IF(ISBLANK(A138),"",VLOOKUP(A138,RELACIONES!$G$3:$H$65,2,FALSE()))</f>
        <v>Revestimientos Cerámico, Porcellanato, Venecita y Refractario Cerámico 60x60</v>
      </c>
      <c r="J138" s="35" t="str">
        <f>IF(ISBLANK(A138),"",VLOOKUP(C138,RELACIONES!$A$3:$B$70,2,FALSE))</f>
        <v>DISCO DE CORTE PARA MAMPOSTERÍA (U)</v>
      </c>
      <c r="K138" s="40">
        <f>IF(ISBLANK(A138),"",VLOOKUP(J138,RELACIONES!$B$3:$E$83,4,FALSE)*E138)</f>
        <v>160</v>
      </c>
    </row>
    <row r="139" ht="15.75" customHeight="1">
      <c r="A139" s="42" t="s">
        <v>2062</v>
      </c>
      <c r="B139" s="43" t="s">
        <v>2095</v>
      </c>
      <c r="C139" s="42" t="s">
        <v>1441</v>
      </c>
      <c r="D139" s="44" t="s">
        <v>2097</v>
      </c>
      <c r="E139" s="45">
        <v>8.0</v>
      </c>
      <c r="F139" s="44" t="s">
        <v>2102</v>
      </c>
      <c r="G139" s="44" t="s">
        <v>2124</v>
      </c>
      <c r="H139" s="46" t="s">
        <v>2112</v>
      </c>
      <c r="I139" s="34" t="str">
        <f>IF(ISBLANK(A139),"",VLOOKUP(A139,RELACIONES!$G$3:$H$65,2,FALSE()))</f>
        <v>Revestimientos Cerámico, Porcellanato, Venecita y Refractario Cerámico 60x60</v>
      </c>
      <c r="J139" s="35" t="str">
        <f>IF(ISBLANK(A139),"",VLOOKUP(C139,RELACIONES!$A$3:$B$70,2,FALSE))</f>
        <v>SEPARADORES PORCELANATOS TIPO CUÑA (U)</v>
      </c>
      <c r="K139" s="40">
        <f>IF(ISBLANK(A139),"",VLOOKUP(J139,RELACIONES!$B$3:$E$83,4,FALSE)*E139)</f>
        <v>608</v>
      </c>
    </row>
    <row r="140" ht="15.75" customHeight="1">
      <c r="A140" s="42" t="s">
        <v>2062</v>
      </c>
      <c r="B140" s="43" t="s">
        <v>2095</v>
      </c>
      <c r="C140" s="42" t="s">
        <v>1442</v>
      </c>
      <c r="D140" s="44" t="s">
        <v>2097</v>
      </c>
      <c r="E140" s="45">
        <v>0.01</v>
      </c>
      <c r="F140" s="44" t="s">
        <v>2102</v>
      </c>
      <c r="G140" s="44" t="s">
        <v>2124</v>
      </c>
      <c r="H140" s="46" t="s">
        <v>2112</v>
      </c>
      <c r="I140" s="34" t="str">
        <f>IF(ISBLANK(A140),"",VLOOKUP(A140,RELACIONES!$G$3:$H$65,2,FALSE()))</f>
        <v>Revestimientos Cerámico, Porcellanato, Venecita y Refractario Cerámico 60x60</v>
      </c>
      <c r="J140" s="35" t="str">
        <f>IF(ISBLANK(A140),"",VLOOKUP(C140,RELACIONES!$A$3:$B$70,2,FALSE))</f>
        <v>LLANA DENTADA 10MM (U)</v>
      </c>
      <c r="K140" s="40">
        <f>IF(ISBLANK(A140),"",VLOOKUP(J140,RELACIONES!$B$3:$E$83,4,FALSE)*E140)</f>
        <v>123</v>
      </c>
    </row>
    <row r="141" ht="15.75" customHeight="1">
      <c r="A141" s="42" t="s">
        <v>2062</v>
      </c>
      <c r="B141" s="43" t="s">
        <v>2095</v>
      </c>
      <c r="C141" s="42" t="s">
        <v>1438</v>
      </c>
      <c r="D141" s="44" t="s">
        <v>2114</v>
      </c>
      <c r="E141" s="45">
        <v>1.1</v>
      </c>
      <c r="F141" s="44" t="s">
        <v>2102</v>
      </c>
      <c r="G141" s="44" t="s">
        <v>2124</v>
      </c>
      <c r="H141" s="46" t="s">
        <v>2112</v>
      </c>
      <c r="I141" s="34" t="str">
        <f>IF(ISBLANK(A141),"",VLOOKUP(A141,RELACIONES!$G$3:$H$65,2,FALSE()))</f>
        <v>Revestimientos Cerámico, Porcellanato, Venecita y Refractario Cerámico 60x60</v>
      </c>
      <c r="J141" s="35" t="str">
        <f>IF(ISBLANK(A141),"",VLOOKUP(C141,RELACIONES!$A$3:$B$70,2,FALSE))</f>
        <v>CARTÓN CORRUGADO (M2)</v>
      </c>
      <c r="K141" s="40">
        <f>IF(ISBLANK(A141),"",VLOOKUP(J141,RELACIONES!$B$3:$E$83,4,FALSE)*E141)</f>
        <v>572</v>
      </c>
    </row>
    <row r="142" ht="15.75" customHeight="1">
      <c r="A142" s="42" t="s">
        <v>2062</v>
      </c>
      <c r="B142" s="43" t="s">
        <v>2095</v>
      </c>
      <c r="C142" s="42" t="s">
        <v>2126</v>
      </c>
      <c r="D142" s="44" t="s">
        <v>2111</v>
      </c>
      <c r="E142" s="45">
        <v>0.3</v>
      </c>
      <c r="F142" s="44" t="s">
        <v>2102</v>
      </c>
      <c r="G142" s="44" t="s">
        <v>2124</v>
      </c>
      <c r="H142" s="46" t="s">
        <v>2112</v>
      </c>
      <c r="I142" s="34" t="str">
        <f>IF(ISBLANK(A142),"",VLOOKUP(A142,RELACIONES!$G$3:$H$65,2,FALSE()))</f>
        <v>Revestimientos Cerámico, Porcellanato, Venecita y Refractario Cerámico 60x60</v>
      </c>
      <c r="J142" s="35" t="str">
        <f>IF(ISBLANK(A142),"",VLOOKUP(C142,RELACIONES!$A$3:$B$70,2,FALSE))</f>
        <v>Cinta Papel encubrir 18 mm. x 50 mts</v>
      </c>
      <c r="K142" s="40">
        <f>IF(ISBLANK(A142),"",VLOOKUP(J142,RELACIONES!$B$3:$E$83,4,FALSE)*E142)</f>
        <v>34.52004</v>
      </c>
    </row>
    <row r="143" ht="15.75" customHeight="1">
      <c r="A143" s="36"/>
      <c r="B143" s="36"/>
      <c r="C143" s="36"/>
      <c r="D143" s="36"/>
      <c r="E143" s="37"/>
      <c r="F143" s="36"/>
      <c r="G143" s="36"/>
      <c r="H143" s="36"/>
      <c r="I143" s="34" t="str">
        <f>IF(ISBLANK(A143),"",VLOOKUP(A143,RELACIONES!$G$3:$H$65,2,FALSE()))</f>
        <v/>
      </c>
      <c r="J143" s="35" t="str">
        <f>IF(ISBLANK(A143),"",VLOOKUP(C143,RELACIONES!$A$3:$B$70,2,FALSE))</f>
        <v/>
      </c>
      <c r="K143" s="35" t="str">
        <f>IF(ISBLANK(A143),"",VLOOKUP(J143,RELACIONES!$B$3:$E$83,4,FALSE)*E143)</f>
        <v/>
      </c>
    </row>
    <row r="144" ht="15.75" customHeight="1">
      <c r="A144" s="39" t="s">
        <v>2063</v>
      </c>
      <c r="B144" s="31" t="s">
        <v>2095</v>
      </c>
      <c r="C144" s="39" t="s">
        <v>2127</v>
      </c>
      <c r="D144" s="33" t="s">
        <v>2106</v>
      </c>
      <c r="E144" s="32">
        <v>7.5</v>
      </c>
      <c r="F144" s="33" t="s">
        <v>2102</v>
      </c>
      <c r="G144" s="33" t="s">
        <v>2124</v>
      </c>
      <c r="H144" s="33" t="s">
        <v>2104</v>
      </c>
      <c r="I144" s="34" t="str">
        <f>IF(ISBLANK(A144),"",VLOOKUP(A144,RELACIONES!$G$3:$H$65,2,FALSE()))</f>
        <v>Revestimientos Cerámico, Porcellanato, Venecita y Refractario Cerámico 60x60</v>
      </c>
      <c r="J144" s="35" t="str">
        <f>IF(ISBLANK(A144),"",VLOOKUP(C144,RELACIONES!$A$3:$B$70,2,FALSE))</f>
        <v>Pegamento para porcellanato x 30kg. Klaukol</v>
      </c>
      <c r="K144" s="40">
        <f>IF(ISBLANK(A144),"",VLOOKUP(J144,RELACIONES!$B$3:$E$83,4,FALSE)*E144)</f>
        <v>10318.7125</v>
      </c>
    </row>
    <row r="145" ht="15.75" customHeight="1">
      <c r="A145" s="39" t="s">
        <v>2063</v>
      </c>
      <c r="B145" s="31" t="s">
        <v>2095</v>
      </c>
      <c r="C145" s="39" t="s">
        <v>2125</v>
      </c>
      <c r="D145" s="33" t="s">
        <v>2106</v>
      </c>
      <c r="E145" s="32">
        <v>0.3</v>
      </c>
      <c r="F145" s="33" t="s">
        <v>2102</v>
      </c>
      <c r="G145" s="33" t="s">
        <v>2124</v>
      </c>
      <c r="H145" s="33" t="s">
        <v>2104</v>
      </c>
      <c r="I145" s="34" t="str">
        <f>IF(ISBLANK(A145),"",VLOOKUP(A145,RELACIONES!$G$3:$H$65,2,FALSE()))</f>
        <v>Revestimientos Cerámico, Porcellanato, Venecita y Refractario Cerámico 60x60</v>
      </c>
      <c r="J145" s="35" t="str">
        <f>IF(ISBLANK(A145),"",VLOOKUP(C145,RELACIONES!$A$3:$B$70,2,FALSE))</f>
        <v>Pastina para Porcellanato Klaukol</v>
      </c>
      <c r="K145" s="40">
        <f>IF(ISBLANK(A145),"",VLOOKUP(J145,RELACIONES!$B$3:$E$83,4,FALSE)*E145)</f>
        <v>1348.326</v>
      </c>
    </row>
    <row r="146" ht="15.75" customHeight="1">
      <c r="A146" s="39" t="s">
        <v>2063</v>
      </c>
      <c r="B146" s="31" t="s">
        <v>2095</v>
      </c>
      <c r="C146" s="39" t="s">
        <v>1432</v>
      </c>
      <c r="D146" s="33" t="s">
        <v>2097</v>
      </c>
      <c r="E146" s="32">
        <v>0.04</v>
      </c>
      <c r="F146" s="33" t="s">
        <v>2102</v>
      </c>
      <c r="G146" s="33" t="s">
        <v>2124</v>
      </c>
      <c r="H146" s="41" t="s">
        <v>2112</v>
      </c>
      <c r="I146" s="34" t="str">
        <f>IF(ISBLANK(A146),"",VLOOKUP(A146,RELACIONES!$G$3:$H$65,2,FALSE()))</f>
        <v>Revestimientos Cerámico, Porcellanato, Venecita y Refractario Cerámico 60x60</v>
      </c>
      <c r="J146" s="35" t="str">
        <f>IF(ISBLANK(A146),"",VLOOKUP(C146,RELACIONES!$A$3:$B$70,2,FALSE))</f>
        <v>DISCO DE CORTE PARA MAMPOSTERÍA (U)</v>
      </c>
      <c r="K146" s="40">
        <f>IF(ISBLANK(A146),"",VLOOKUP(J146,RELACIONES!$B$3:$E$83,4,FALSE)*E146)</f>
        <v>160</v>
      </c>
    </row>
    <row r="147" ht="15.75" customHeight="1">
      <c r="A147" s="39" t="s">
        <v>2063</v>
      </c>
      <c r="B147" s="31" t="s">
        <v>2095</v>
      </c>
      <c r="C147" s="39" t="s">
        <v>1441</v>
      </c>
      <c r="D147" s="33" t="s">
        <v>2097</v>
      </c>
      <c r="E147" s="32">
        <v>8.0</v>
      </c>
      <c r="F147" s="33" t="s">
        <v>2102</v>
      </c>
      <c r="G147" s="33" t="s">
        <v>2124</v>
      </c>
      <c r="H147" s="41" t="s">
        <v>2112</v>
      </c>
      <c r="I147" s="34" t="str">
        <f>IF(ISBLANK(A147),"",VLOOKUP(A147,RELACIONES!$G$3:$H$65,2,FALSE()))</f>
        <v>Revestimientos Cerámico, Porcellanato, Venecita y Refractario Cerámico 60x60</v>
      </c>
      <c r="J147" s="35" t="str">
        <f>IF(ISBLANK(A147),"",VLOOKUP(C147,RELACIONES!$A$3:$B$70,2,FALSE))</f>
        <v>SEPARADORES PORCELANATOS TIPO CUÑA (U)</v>
      </c>
      <c r="K147" s="40">
        <f>IF(ISBLANK(A147),"",VLOOKUP(J147,RELACIONES!$B$3:$E$83,4,FALSE)*E147)</f>
        <v>608</v>
      </c>
    </row>
    <row r="148" ht="15.75" customHeight="1">
      <c r="A148" s="39" t="s">
        <v>2063</v>
      </c>
      <c r="B148" s="31" t="s">
        <v>2095</v>
      </c>
      <c r="C148" s="39" t="s">
        <v>1442</v>
      </c>
      <c r="D148" s="33" t="s">
        <v>2097</v>
      </c>
      <c r="E148" s="32">
        <v>0.01</v>
      </c>
      <c r="F148" s="33" t="s">
        <v>2102</v>
      </c>
      <c r="G148" s="33" t="s">
        <v>2124</v>
      </c>
      <c r="H148" s="41" t="s">
        <v>2112</v>
      </c>
      <c r="I148" s="34" t="str">
        <f>IF(ISBLANK(A148),"",VLOOKUP(A148,RELACIONES!$G$3:$H$65,2,FALSE()))</f>
        <v>Revestimientos Cerámico, Porcellanato, Venecita y Refractario Cerámico 60x60</v>
      </c>
      <c r="J148" s="35" t="str">
        <f>IF(ISBLANK(A148),"",VLOOKUP(C148,RELACIONES!$A$3:$B$70,2,FALSE))</f>
        <v>LLANA DENTADA 10MM (U)</v>
      </c>
      <c r="K148" s="40">
        <f>IF(ISBLANK(A148),"",VLOOKUP(J148,RELACIONES!$B$3:$E$83,4,FALSE)*E148)</f>
        <v>123</v>
      </c>
    </row>
    <row r="149" ht="15.75" customHeight="1">
      <c r="A149" s="39" t="s">
        <v>2063</v>
      </c>
      <c r="B149" s="31" t="s">
        <v>2095</v>
      </c>
      <c r="C149" s="39" t="s">
        <v>1438</v>
      </c>
      <c r="D149" s="33" t="s">
        <v>2114</v>
      </c>
      <c r="E149" s="32">
        <v>1.1</v>
      </c>
      <c r="F149" s="33" t="s">
        <v>2102</v>
      </c>
      <c r="G149" s="33" t="s">
        <v>2124</v>
      </c>
      <c r="H149" s="41" t="s">
        <v>2112</v>
      </c>
      <c r="I149" s="34" t="str">
        <f>IF(ISBLANK(A149),"",VLOOKUP(A149,RELACIONES!$G$3:$H$65,2,FALSE()))</f>
        <v>Revestimientos Cerámico, Porcellanato, Venecita y Refractario Cerámico 60x60</v>
      </c>
      <c r="J149" s="35" t="str">
        <f>IF(ISBLANK(A149),"",VLOOKUP(C149,RELACIONES!$A$3:$B$70,2,FALSE))</f>
        <v>CARTÓN CORRUGADO (M2)</v>
      </c>
      <c r="K149" s="40">
        <f>IF(ISBLANK(A149),"",VLOOKUP(J149,RELACIONES!$B$3:$E$83,4,FALSE)*E149)</f>
        <v>572</v>
      </c>
    </row>
    <row r="150" ht="15.75" customHeight="1">
      <c r="A150" s="39" t="s">
        <v>2063</v>
      </c>
      <c r="B150" s="31" t="s">
        <v>2095</v>
      </c>
      <c r="C150" s="39" t="s">
        <v>2126</v>
      </c>
      <c r="D150" s="33" t="s">
        <v>2111</v>
      </c>
      <c r="E150" s="32">
        <v>0.3</v>
      </c>
      <c r="F150" s="33" t="s">
        <v>2102</v>
      </c>
      <c r="G150" s="33" t="s">
        <v>2124</v>
      </c>
      <c r="H150" s="41" t="s">
        <v>2112</v>
      </c>
      <c r="I150" s="34" t="str">
        <f>IF(ISBLANK(A150),"",VLOOKUP(A150,RELACIONES!$G$3:$H$65,2,FALSE()))</f>
        <v>Revestimientos Cerámico, Porcellanato, Venecita y Refractario Cerámico 60x60</v>
      </c>
      <c r="J150" s="35" t="str">
        <f>IF(ISBLANK(A150),"",VLOOKUP(C150,RELACIONES!$A$3:$B$70,2,FALSE))</f>
        <v>Cinta Papel encubrir 18 mm. x 50 mts</v>
      </c>
      <c r="K150" s="40">
        <f>IF(ISBLANK(A150),"",VLOOKUP(J150,RELACIONES!$B$3:$E$83,4,FALSE)*E150)</f>
        <v>34.52004</v>
      </c>
    </row>
    <row r="151" ht="15.75" customHeight="1">
      <c r="A151" s="36"/>
      <c r="B151" s="36"/>
      <c r="C151" s="36"/>
      <c r="D151" s="36"/>
      <c r="E151" s="37"/>
      <c r="F151" s="36"/>
      <c r="G151" s="36"/>
      <c r="H151" s="36"/>
      <c r="I151" s="34" t="str">
        <f>IF(ISBLANK(A151),"",VLOOKUP(A151,RELACIONES!$G$3:$H$65,2,FALSE()))</f>
        <v/>
      </c>
      <c r="J151" s="35" t="str">
        <f>IF(ISBLANK(A151),"",VLOOKUP(C151,RELACIONES!$A$3:$B$70,2,FALSE))</f>
        <v/>
      </c>
      <c r="K151" s="35" t="str">
        <f>IF(ISBLANK(A151),"",VLOOKUP(J151,RELACIONES!$B$3:$E$83,4,FALSE)*E151)</f>
        <v/>
      </c>
    </row>
    <row r="152" ht="15.75" customHeight="1">
      <c r="A152" s="42" t="s">
        <v>2064</v>
      </c>
      <c r="B152" s="43" t="s">
        <v>2095</v>
      </c>
      <c r="C152" s="42" t="s">
        <v>2123</v>
      </c>
      <c r="D152" s="44" t="s">
        <v>2106</v>
      </c>
      <c r="E152" s="45">
        <v>7.5</v>
      </c>
      <c r="F152" s="44" t="s">
        <v>2102</v>
      </c>
      <c r="G152" s="44" t="s">
        <v>2124</v>
      </c>
      <c r="H152" s="44" t="s">
        <v>2104</v>
      </c>
      <c r="I152" s="34" t="str">
        <f>IF(ISBLANK(A152),"",VLOOKUP(A152,RELACIONES!$G$3:$H$65,2,FALSE()))</f>
        <v>Revestimientos Cerámico, Porcellanato, Venecita y Refractario Porcellanato 60x60</v>
      </c>
      <c r="J152" s="35" t="str">
        <f>IF(ISBLANK(A152),"",VLOOKUP(C152,RELACIONES!$A$3:$B$70,2,FALSE))</f>
        <v>Pegamento para porcellanato x 30kg. Klaukol</v>
      </c>
      <c r="K152" s="40">
        <f>IF(ISBLANK(A152),"",VLOOKUP(J152,RELACIONES!$B$3:$E$83,4,FALSE)*E152)</f>
        <v>10318.7125</v>
      </c>
    </row>
    <row r="153" ht="15.75" customHeight="1">
      <c r="A153" s="42" t="s">
        <v>2064</v>
      </c>
      <c r="B153" s="43" t="s">
        <v>2095</v>
      </c>
      <c r="C153" s="42" t="s">
        <v>2125</v>
      </c>
      <c r="D153" s="44" t="s">
        <v>2106</v>
      </c>
      <c r="E153" s="45">
        <v>0.3</v>
      </c>
      <c r="F153" s="44" t="s">
        <v>2102</v>
      </c>
      <c r="G153" s="44" t="s">
        <v>2124</v>
      </c>
      <c r="H153" s="44" t="s">
        <v>2104</v>
      </c>
      <c r="I153" s="34" t="str">
        <f>IF(ISBLANK(A153),"",VLOOKUP(A153,RELACIONES!$G$3:$H$65,2,FALSE()))</f>
        <v>Revestimientos Cerámico, Porcellanato, Venecita y Refractario Porcellanato 60x60</v>
      </c>
      <c r="J153" s="35" t="str">
        <f>IF(ISBLANK(A153),"",VLOOKUP(C153,RELACIONES!$A$3:$B$70,2,FALSE))</f>
        <v>Pastina para Porcellanato Klaukol</v>
      </c>
      <c r="K153" s="40">
        <f>IF(ISBLANK(A153),"",VLOOKUP(J153,RELACIONES!$B$3:$E$83,4,FALSE)*E153)</f>
        <v>1348.326</v>
      </c>
    </row>
    <row r="154" ht="15.75" customHeight="1">
      <c r="A154" s="42" t="s">
        <v>2064</v>
      </c>
      <c r="B154" s="43" t="s">
        <v>2095</v>
      </c>
      <c r="C154" s="42" t="s">
        <v>1443</v>
      </c>
      <c r="D154" s="44" t="s">
        <v>2097</v>
      </c>
      <c r="E154" s="45">
        <v>0.04</v>
      </c>
      <c r="F154" s="44" t="s">
        <v>2102</v>
      </c>
      <c r="G154" s="44" t="s">
        <v>2124</v>
      </c>
      <c r="H154" s="46" t="s">
        <v>2112</v>
      </c>
      <c r="I154" s="34" t="str">
        <f>IF(ISBLANK(A154),"",VLOOKUP(A154,RELACIONES!$G$3:$H$65,2,FALSE()))</f>
        <v>Revestimientos Cerámico, Porcellanato, Venecita y Refractario Porcellanato 60x60</v>
      </c>
      <c r="J154" s="35" t="str">
        <f>IF(ISBLANK(A154),"",VLOOKUP(C154,RELACIONES!$A$3:$B$70,2,FALSE))</f>
        <v>DISCO DIAMANTADO PARA PORCELANATO (U)</v>
      </c>
      <c r="K154" s="40">
        <f>IF(ISBLANK(A154),"",VLOOKUP(J154,RELACIONES!$B$3:$E$83,4,FALSE)*E154)</f>
        <v>960</v>
      </c>
    </row>
    <row r="155" ht="15.75" customHeight="1">
      <c r="A155" s="42" t="s">
        <v>2064</v>
      </c>
      <c r="B155" s="43" t="s">
        <v>2095</v>
      </c>
      <c r="C155" s="42" t="s">
        <v>1441</v>
      </c>
      <c r="D155" s="44" t="s">
        <v>2097</v>
      </c>
      <c r="E155" s="45">
        <v>8.0</v>
      </c>
      <c r="F155" s="44" t="s">
        <v>2102</v>
      </c>
      <c r="G155" s="44" t="s">
        <v>2124</v>
      </c>
      <c r="H155" s="46" t="s">
        <v>2112</v>
      </c>
      <c r="I155" s="34" t="str">
        <f>IF(ISBLANK(A155),"",VLOOKUP(A155,RELACIONES!$G$3:$H$65,2,FALSE()))</f>
        <v>Revestimientos Cerámico, Porcellanato, Venecita y Refractario Porcellanato 60x60</v>
      </c>
      <c r="J155" s="35" t="str">
        <f>IF(ISBLANK(A155),"",VLOOKUP(C155,RELACIONES!$A$3:$B$70,2,FALSE))</f>
        <v>SEPARADORES PORCELANATOS TIPO CUÑA (U)</v>
      </c>
      <c r="K155" s="40">
        <f>IF(ISBLANK(A155),"",VLOOKUP(J155,RELACIONES!$B$3:$E$83,4,FALSE)*E155)</f>
        <v>608</v>
      </c>
    </row>
    <row r="156" ht="15.75" customHeight="1">
      <c r="A156" s="42" t="s">
        <v>2064</v>
      </c>
      <c r="B156" s="43" t="s">
        <v>2095</v>
      </c>
      <c r="C156" s="42" t="s">
        <v>1442</v>
      </c>
      <c r="D156" s="44" t="s">
        <v>2097</v>
      </c>
      <c r="E156" s="45">
        <v>0.01</v>
      </c>
      <c r="F156" s="44" t="s">
        <v>2102</v>
      </c>
      <c r="G156" s="44" t="s">
        <v>2124</v>
      </c>
      <c r="H156" s="46" t="s">
        <v>2112</v>
      </c>
      <c r="I156" s="34" t="str">
        <f>IF(ISBLANK(A156),"",VLOOKUP(A156,RELACIONES!$G$3:$H$65,2,FALSE()))</f>
        <v>Revestimientos Cerámico, Porcellanato, Venecita y Refractario Porcellanato 60x60</v>
      </c>
      <c r="J156" s="35" t="str">
        <f>IF(ISBLANK(A156),"",VLOOKUP(C156,RELACIONES!$A$3:$B$70,2,FALSE))</f>
        <v>LLANA DENTADA 10MM (U)</v>
      </c>
      <c r="K156" s="40">
        <f>IF(ISBLANK(A156),"",VLOOKUP(J156,RELACIONES!$B$3:$E$83,4,FALSE)*E156)</f>
        <v>123</v>
      </c>
    </row>
    <row r="157" ht="15.75" customHeight="1">
      <c r="A157" s="42" t="s">
        <v>2064</v>
      </c>
      <c r="B157" s="43" t="s">
        <v>2095</v>
      </c>
      <c r="C157" s="42" t="s">
        <v>1438</v>
      </c>
      <c r="D157" s="44" t="s">
        <v>2114</v>
      </c>
      <c r="E157" s="45">
        <v>1.1</v>
      </c>
      <c r="F157" s="44" t="s">
        <v>2102</v>
      </c>
      <c r="G157" s="44" t="s">
        <v>2124</v>
      </c>
      <c r="H157" s="46" t="s">
        <v>2112</v>
      </c>
      <c r="I157" s="34" t="str">
        <f>IF(ISBLANK(A157),"",VLOOKUP(A157,RELACIONES!$G$3:$H$65,2,FALSE()))</f>
        <v>Revestimientos Cerámico, Porcellanato, Venecita y Refractario Porcellanato 60x60</v>
      </c>
      <c r="J157" s="35" t="str">
        <f>IF(ISBLANK(A157),"",VLOOKUP(C157,RELACIONES!$A$3:$B$70,2,FALSE))</f>
        <v>CARTÓN CORRUGADO (M2)</v>
      </c>
      <c r="K157" s="40">
        <f>IF(ISBLANK(A157),"",VLOOKUP(J157,RELACIONES!$B$3:$E$83,4,FALSE)*E157)</f>
        <v>572</v>
      </c>
    </row>
    <row r="158" ht="15.75" customHeight="1">
      <c r="A158" s="42" t="s">
        <v>2064</v>
      </c>
      <c r="B158" s="43" t="s">
        <v>2095</v>
      </c>
      <c r="C158" s="42" t="s">
        <v>2126</v>
      </c>
      <c r="D158" s="44" t="s">
        <v>2111</v>
      </c>
      <c r="E158" s="45">
        <v>0.3</v>
      </c>
      <c r="F158" s="44" t="s">
        <v>2102</v>
      </c>
      <c r="G158" s="44" t="s">
        <v>2124</v>
      </c>
      <c r="H158" s="46" t="s">
        <v>2112</v>
      </c>
      <c r="I158" s="34" t="str">
        <f>IF(ISBLANK(A158),"",VLOOKUP(A158,RELACIONES!$G$3:$H$65,2,FALSE()))</f>
        <v>Revestimientos Cerámico, Porcellanato, Venecita y Refractario Porcellanato 60x60</v>
      </c>
      <c r="J158" s="35" t="str">
        <f>IF(ISBLANK(A158),"",VLOOKUP(C158,RELACIONES!$A$3:$B$70,2,FALSE))</f>
        <v>Cinta Papel encubrir 18 mm. x 50 mts</v>
      </c>
      <c r="K158" s="40">
        <f>IF(ISBLANK(A158),"",VLOOKUP(J158,RELACIONES!$B$3:$E$83,4,FALSE)*E158)</f>
        <v>34.52004</v>
      </c>
    </row>
    <row r="159" ht="15.75" customHeight="1">
      <c r="A159" s="36"/>
      <c r="B159" s="36"/>
      <c r="C159" s="36"/>
      <c r="D159" s="36"/>
      <c r="E159" s="37"/>
      <c r="F159" s="36"/>
      <c r="G159" s="36"/>
      <c r="H159" s="36"/>
      <c r="I159" s="34" t="str">
        <f>IF(ISBLANK(A159),"",VLOOKUP(A159,RELACIONES!$G$3:$H$65,2,FALSE()))</f>
        <v/>
      </c>
      <c r="J159" s="35" t="str">
        <f>IF(ISBLANK(A159),"",VLOOKUP(C159,RELACIONES!$A$3:$B$70,2,FALSE))</f>
        <v/>
      </c>
      <c r="K159" s="35" t="str">
        <f>IF(ISBLANK(A159),"",VLOOKUP(J159,RELACIONES!$B$3:$E$83,4,FALSE)*E159)</f>
        <v/>
      </c>
    </row>
    <row r="160" ht="15.75" customHeight="1">
      <c r="A160" s="39" t="s">
        <v>2065</v>
      </c>
      <c r="B160" s="31" t="s">
        <v>2095</v>
      </c>
      <c r="C160" s="39" t="s">
        <v>2127</v>
      </c>
      <c r="D160" s="33" t="s">
        <v>2106</v>
      </c>
      <c r="E160" s="32">
        <v>7.5</v>
      </c>
      <c r="F160" s="33" t="s">
        <v>2102</v>
      </c>
      <c r="G160" s="33" t="s">
        <v>2124</v>
      </c>
      <c r="H160" s="33" t="s">
        <v>2104</v>
      </c>
      <c r="I160" s="34" t="str">
        <f>IF(ISBLANK(A160),"",VLOOKUP(A160,RELACIONES!$G$3:$H$65,2,FALSE()))</f>
        <v>Revestimientos Cerámico, Porcellanato, Venecita y Refractario Porcellanato 60x60</v>
      </c>
      <c r="J160" s="35" t="str">
        <f>IF(ISBLANK(A160),"",VLOOKUP(C160,RELACIONES!$A$3:$B$70,2,FALSE))</f>
        <v>Pegamento para porcellanato x 30kg. Klaukol</v>
      </c>
      <c r="K160" s="40">
        <f>IF(ISBLANK(A160),"",VLOOKUP(J160,RELACIONES!$B$3:$E$83,4,FALSE)*E160)</f>
        <v>10318.7125</v>
      </c>
    </row>
    <row r="161" ht="15.75" customHeight="1">
      <c r="A161" s="39" t="s">
        <v>2065</v>
      </c>
      <c r="B161" s="31" t="s">
        <v>2095</v>
      </c>
      <c r="C161" s="39" t="s">
        <v>2125</v>
      </c>
      <c r="D161" s="33" t="s">
        <v>2106</v>
      </c>
      <c r="E161" s="32">
        <v>0.3</v>
      </c>
      <c r="F161" s="33" t="s">
        <v>2102</v>
      </c>
      <c r="G161" s="33" t="s">
        <v>2124</v>
      </c>
      <c r="H161" s="33" t="s">
        <v>2104</v>
      </c>
      <c r="I161" s="34" t="str">
        <f>IF(ISBLANK(A161),"",VLOOKUP(A161,RELACIONES!$G$3:$H$65,2,FALSE()))</f>
        <v>Revestimientos Cerámico, Porcellanato, Venecita y Refractario Porcellanato 60x60</v>
      </c>
      <c r="J161" s="35" t="str">
        <f>IF(ISBLANK(A161),"",VLOOKUP(C161,RELACIONES!$A$3:$B$70,2,FALSE))</f>
        <v>Pastina para Porcellanato Klaukol</v>
      </c>
      <c r="K161" s="40">
        <f>IF(ISBLANK(A161),"",VLOOKUP(J161,RELACIONES!$B$3:$E$83,4,FALSE)*E161)</f>
        <v>1348.326</v>
      </c>
    </row>
    <row r="162" ht="15.75" customHeight="1">
      <c r="A162" s="39" t="s">
        <v>2065</v>
      </c>
      <c r="B162" s="31" t="s">
        <v>2095</v>
      </c>
      <c r="C162" s="39" t="s">
        <v>1443</v>
      </c>
      <c r="D162" s="33" t="s">
        <v>2097</v>
      </c>
      <c r="E162" s="32">
        <v>0.04</v>
      </c>
      <c r="F162" s="33" t="s">
        <v>2102</v>
      </c>
      <c r="G162" s="33" t="s">
        <v>2124</v>
      </c>
      <c r="H162" s="41" t="s">
        <v>2112</v>
      </c>
      <c r="I162" s="34" t="str">
        <f>IF(ISBLANK(A162),"",VLOOKUP(A162,RELACIONES!$G$3:$H$65,2,FALSE()))</f>
        <v>Revestimientos Cerámico, Porcellanato, Venecita y Refractario Porcellanato 60x60</v>
      </c>
      <c r="J162" s="35" t="str">
        <f>IF(ISBLANK(A162),"",VLOOKUP(C162,RELACIONES!$A$3:$B$70,2,FALSE))</f>
        <v>DISCO DIAMANTADO PARA PORCELANATO (U)</v>
      </c>
      <c r="K162" s="40">
        <f>IF(ISBLANK(A162),"",VLOOKUP(J162,RELACIONES!$B$3:$E$83,4,FALSE)*E162)</f>
        <v>960</v>
      </c>
    </row>
    <row r="163" ht="15.75" customHeight="1">
      <c r="A163" s="39" t="s">
        <v>2065</v>
      </c>
      <c r="B163" s="31" t="s">
        <v>2095</v>
      </c>
      <c r="C163" s="39" t="s">
        <v>1441</v>
      </c>
      <c r="D163" s="33" t="s">
        <v>2097</v>
      </c>
      <c r="E163" s="32">
        <v>8.0</v>
      </c>
      <c r="F163" s="33" t="s">
        <v>2102</v>
      </c>
      <c r="G163" s="33" t="s">
        <v>2124</v>
      </c>
      <c r="H163" s="41" t="s">
        <v>2112</v>
      </c>
      <c r="I163" s="34" t="str">
        <f>IF(ISBLANK(A163),"",VLOOKUP(A163,RELACIONES!$G$3:$H$65,2,FALSE()))</f>
        <v>Revestimientos Cerámico, Porcellanato, Venecita y Refractario Porcellanato 60x60</v>
      </c>
      <c r="J163" s="35" t="str">
        <f>IF(ISBLANK(A163),"",VLOOKUP(C163,RELACIONES!$A$3:$B$70,2,FALSE))</f>
        <v>SEPARADORES PORCELANATOS TIPO CUÑA (U)</v>
      </c>
      <c r="K163" s="40">
        <f>IF(ISBLANK(A163),"",VLOOKUP(J163,RELACIONES!$B$3:$E$83,4,FALSE)*E163)</f>
        <v>608</v>
      </c>
    </row>
    <row r="164" ht="15.75" customHeight="1">
      <c r="A164" s="39" t="s">
        <v>2065</v>
      </c>
      <c r="B164" s="31" t="s">
        <v>2095</v>
      </c>
      <c r="C164" s="39" t="s">
        <v>1442</v>
      </c>
      <c r="D164" s="33" t="s">
        <v>2097</v>
      </c>
      <c r="E164" s="32">
        <v>0.01</v>
      </c>
      <c r="F164" s="33" t="s">
        <v>2102</v>
      </c>
      <c r="G164" s="33" t="s">
        <v>2124</v>
      </c>
      <c r="H164" s="41" t="s">
        <v>2112</v>
      </c>
      <c r="I164" s="34" t="str">
        <f>IF(ISBLANK(A164),"",VLOOKUP(A164,RELACIONES!$G$3:$H$65,2,FALSE()))</f>
        <v>Revestimientos Cerámico, Porcellanato, Venecita y Refractario Porcellanato 60x60</v>
      </c>
      <c r="J164" s="35" t="str">
        <f>IF(ISBLANK(A164),"",VLOOKUP(C164,RELACIONES!$A$3:$B$70,2,FALSE))</f>
        <v>LLANA DENTADA 10MM (U)</v>
      </c>
      <c r="K164" s="40">
        <f>IF(ISBLANK(A164),"",VLOOKUP(J164,RELACIONES!$B$3:$E$83,4,FALSE)*E164)</f>
        <v>123</v>
      </c>
    </row>
    <row r="165" ht="15.75" customHeight="1">
      <c r="A165" s="39" t="s">
        <v>2065</v>
      </c>
      <c r="B165" s="31" t="s">
        <v>2095</v>
      </c>
      <c r="C165" s="39" t="s">
        <v>1438</v>
      </c>
      <c r="D165" s="33" t="s">
        <v>2114</v>
      </c>
      <c r="E165" s="32">
        <v>1.1</v>
      </c>
      <c r="F165" s="33" t="s">
        <v>2102</v>
      </c>
      <c r="G165" s="33" t="s">
        <v>2124</v>
      </c>
      <c r="H165" s="41" t="s">
        <v>2112</v>
      </c>
      <c r="I165" s="34" t="str">
        <f>IF(ISBLANK(A165),"",VLOOKUP(A165,RELACIONES!$G$3:$H$65,2,FALSE()))</f>
        <v>Revestimientos Cerámico, Porcellanato, Venecita y Refractario Porcellanato 60x60</v>
      </c>
      <c r="J165" s="35" t="str">
        <f>IF(ISBLANK(A165),"",VLOOKUP(C165,RELACIONES!$A$3:$B$70,2,FALSE))</f>
        <v>CARTÓN CORRUGADO (M2)</v>
      </c>
      <c r="K165" s="40">
        <f>IF(ISBLANK(A165),"",VLOOKUP(J165,RELACIONES!$B$3:$E$83,4,FALSE)*E165)</f>
        <v>572</v>
      </c>
    </row>
    <row r="166" ht="15.75" customHeight="1">
      <c r="A166" s="39" t="s">
        <v>2065</v>
      </c>
      <c r="B166" s="31" t="s">
        <v>2095</v>
      </c>
      <c r="C166" s="39" t="s">
        <v>2126</v>
      </c>
      <c r="D166" s="33" t="s">
        <v>2111</v>
      </c>
      <c r="E166" s="32">
        <v>0.3</v>
      </c>
      <c r="F166" s="33" t="s">
        <v>2102</v>
      </c>
      <c r="G166" s="33" t="s">
        <v>2124</v>
      </c>
      <c r="H166" s="41" t="s">
        <v>2112</v>
      </c>
      <c r="I166" s="34" t="str">
        <f>IF(ISBLANK(A166),"",VLOOKUP(A166,RELACIONES!$G$3:$H$65,2,FALSE()))</f>
        <v>Revestimientos Cerámico, Porcellanato, Venecita y Refractario Porcellanato 60x60</v>
      </c>
      <c r="J166" s="35" t="str">
        <f>IF(ISBLANK(A166),"",VLOOKUP(C166,RELACIONES!$A$3:$B$70,2,FALSE))</f>
        <v>Cinta Papel encubrir 18 mm. x 50 mts</v>
      </c>
      <c r="K166" s="40">
        <f>IF(ISBLANK(A166),"",VLOOKUP(J166,RELACIONES!$B$3:$E$83,4,FALSE)*E166)</f>
        <v>34.52004</v>
      </c>
    </row>
    <row r="167" ht="15.75" customHeight="1">
      <c r="A167" s="36"/>
      <c r="B167" s="36"/>
      <c r="C167" s="36"/>
      <c r="D167" s="36"/>
      <c r="E167" s="37"/>
      <c r="F167" s="36"/>
      <c r="G167" s="36"/>
      <c r="H167" s="36"/>
      <c r="I167" s="34" t="str">
        <f>IF(ISBLANK(A167),"",VLOOKUP(A167,RELACIONES!$G$3:$H$65,2,FALSE()))</f>
        <v/>
      </c>
      <c r="J167" s="35" t="str">
        <f>IF(ISBLANK(A167),"",VLOOKUP(C167,RELACIONES!$A$3:$B$70,2,FALSE))</f>
        <v/>
      </c>
      <c r="K167" s="35" t="str">
        <f>IF(ISBLANK(A167),"",VLOOKUP(J167,RELACIONES!$B$3:$E$83,4,FALSE)*E167)</f>
        <v/>
      </c>
    </row>
    <row r="168" ht="15.75" customHeight="1">
      <c r="A168" s="42" t="s">
        <v>2066</v>
      </c>
      <c r="B168" s="43" t="s">
        <v>2095</v>
      </c>
      <c r="C168" s="42" t="s">
        <v>2128</v>
      </c>
      <c r="D168" s="44" t="s">
        <v>2114</v>
      </c>
      <c r="E168" s="45">
        <v>1.05</v>
      </c>
      <c r="F168" s="44" t="s">
        <v>2129</v>
      </c>
      <c r="G168" s="44" t="s">
        <v>2130</v>
      </c>
      <c r="H168" s="44" t="s">
        <v>2104</v>
      </c>
      <c r="I168" s="34" t="str">
        <f>IF(ISBLANK(A168),"",VLOOKUP(A168,RELACIONES!$G$3:$H$65,2,FALSE()))</f>
        <v>Construcción en Seco Tabique espesor 9.5cm</v>
      </c>
      <c r="J168" s="35" t="str">
        <f>IF(ISBLANK(A168),"",VLOOKUP(C168,RELACIONES!$A$3:$B$70,2,FALSE))</f>
        <v>Placa yeso Durlock 9.5mm Std. 1.20 x 2.40 mts.</v>
      </c>
      <c r="K168" s="40">
        <f>IF(ISBLANK(A168),"",VLOOKUP(J168,RELACIONES!$B$3:$E$83,4,FALSE)*E168)</f>
        <v>6307.758333</v>
      </c>
    </row>
    <row r="169" ht="15.75" customHeight="1">
      <c r="A169" s="42" t="s">
        <v>2066</v>
      </c>
      <c r="B169" s="43" t="s">
        <v>2095</v>
      </c>
      <c r="C169" s="42" t="s">
        <v>2131</v>
      </c>
      <c r="D169" s="44" t="s">
        <v>2111</v>
      </c>
      <c r="E169" s="45">
        <v>1.15</v>
      </c>
      <c r="F169" s="44" t="s">
        <v>2129</v>
      </c>
      <c r="G169" s="44" t="s">
        <v>2130</v>
      </c>
      <c r="H169" s="44" t="s">
        <v>2104</v>
      </c>
      <c r="I169" s="34" t="str">
        <f>IF(ISBLANK(A169),"",VLOOKUP(A169,RELACIONES!$G$3:$H$65,2,FALSE()))</f>
        <v>Construcción en Seco Tabique espesor 9.5cm</v>
      </c>
      <c r="J169" s="35" t="str">
        <f>IF(ISBLANK(A169),"",VLOOKUP(C169,RELACIONES!$A$3:$B$70,2,FALSE))</f>
        <v>Montante de 69mm x 2.60mts</v>
      </c>
      <c r="K169" s="40">
        <f>IF(ISBLANK(A169),"",VLOOKUP(J169,RELACIONES!$B$3:$E$83,4,FALSE)*E169)</f>
        <v>2741.277115</v>
      </c>
    </row>
    <row r="170" ht="15.75" customHeight="1">
      <c r="A170" s="42" t="s">
        <v>2066</v>
      </c>
      <c r="B170" s="43" t="s">
        <v>2095</v>
      </c>
      <c r="C170" s="42" t="s">
        <v>2132</v>
      </c>
      <c r="D170" s="44" t="s">
        <v>2111</v>
      </c>
      <c r="E170" s="45">
        <v>0.38</v>
      </c>
      <c r="F170" s="44" t="s">
        <v>2129</v>
      </c>
      <c r="G170" s="44" t="s">
        <v>2130</v>
      </c>
      <c r="H170" s="44" t="s">
        <v>2104</v>
      </c>
      <c r="I170" s="34" t="str">
        <f>IF(ISBLANK(A170),"",VLOOKUP(A170,RELACIONES!$G$3:$H$65,2,FALSE()))</f>
        <v>Construcción en Seco Tabique espesor 9.5cm</v>
      </c>
      <c r="J170" s="35" t="str">
        <f>IF(ISBLANK(A170),"",VLOOKUP(C170,RELACIONES!$A$3:$B$70,2,FALSE))</f>
        <v>Solera de 70mm x 2.60 mts.</v>
      </c>
      <c r="K170" s="40">
        <f>IF(ISBLANK(A170),"",VLOOKUP(J170,RELACIONES!$B$3:$E$83,4,FALSE)*E170)</f>
        <v>1388.280308</v>
      </c>
    </row>
    <row r="171" ht="15.75" customHeight="1">
      <c r="A171" s="42" t="s">
        <v>2066</v>
      </c>
      <c r="B171" s="43" t="s">
        <v>2095</v>
      </c>
      <c r="C171" s="42" t="s">
        <v>2133</v>
      </c>
      <c r="D171" s="44" t="s">
        <v>2111</v>
      </c>
      <c r="E171" s="45">
        <v>2.1</v>
      </c>
      <c r="F171" s="44" t="s">
        <v>2129</v>
      </c>
      <c r="G171" s="44" t="s">
        <v>2130</v>
      </c>
      <c r="H171" s="44" t="s">
        <v>2104</v>
      </c>
      <c r="I171" s="34" t="str">
        <f>IF(ISBLANK(A171),"",VLOOKUP(A171,RELACIONES!$G$3:$H$65,2,FALSE()))</f>
        <v>Construcción en Seco Tabique espesor 9.5cm</v>
      </c>
      <c r="J171" s="35" t="str">
        <f>IF(ISBLANK(A171),"",VLOOKUP(C171,RELACIONES!$A$3:$B$70,2,FALSE))</f>
        <v>Cantonera Durlock Metal Galvanizado x 2,60 m</v>
      </c>
      <c r="K171" s="40">
        <f>IF(ISBLANK(A171),"",VLOOKUP(J171,RELACIONES!$B$3:$E$83,4,FALSE)*E171)</f>
        <v>2794.849615</v>
      </c>
    </row>
    <row r="172" ht="15.75" customHeight="1">
      <c r="A172" s="42" t="s">
        <v>2066</v>
      </c>
      <c r="B172" s="43" t="s">
        <v>2095</v>
      </c>
      <c r="C172" s="42" t="s">
        <v>2134</v>
      </c>
      <c r="D172" s="44" t="s">
        <v>2097</v>
      </c>
      <c r="E172" s="45">
        <v>10.0</v>
      </c>
      <c r="F172" s="44" t="s">
        <v>2129</v>
      </c>
      <c r="G172" s="44" t="s">
        <v>2130</v>
      </c>
      <c r="H172" s="46" t="s">
        <v>2112</v>
      </c>
      <c r="I172" s="34" t="str">
        <f>IF(ISBLANK(A172),"",VLOOKUP(A172,RELACIONES!$G$3:$H$65,2,FALSE()))</f>
        <v>Construcción en Seco Tabique espesor 9.5cm</v>
      </c>
      <c r="J172" s="35" t="str">
        <f>IF(ISBLANK(A172),"",VLOOKUP(C172,RELACIONES!$A$3:$B$70,2,FALSE))</f>
        <v>Tornillo Auto-Perforante T2 Punta Aguja 6 x 1</v>
      </c>
      <c r="K172" s="40">
        <f>IF(ISBLANK(A172),"",VLOOKUP(J172,RELACIONES!$B$3:$E$83,4,FALSE)*E172)</f>
        <v>286</v>
      </c>
    </row>
    <row r="173" ht="15.75" customHeight="1">
      <c r="A173" s="42" t="s">
        <v>2066</v>
      </c>
      <c r="B173" s="43" t="s">
        <v>2095</v>
      </c>
      <c r="C173" s="42" t="s">
        <v>2135</v>
      </c>
      <c r="D173" s="44" t="s">
        <v>2097</v>
      </c>
      <c r="E173" s="45">
        <v>30.0</v>
      </c>
      <c r="F173" s="44" t="s">
        <v>2129</v>
      </c>
      <c r="G173" s="44" t="s">
        <v>2130</v>
      </c>
      <c r="H173" s="46" t="s">
        <v>2112</v>
      </c>
      <c r="I173" s="34" t="str">
        <f>IF(ISBLANK(A173),"",VLOOKUP(A173,RELACIONES!$G$3:$H$65,2,FALSE()))</f>
        <v>Construcción en Seco Tabique espesor 9.5cm</v>
      </c>
      <c r="J173" s="35" t="str">
        <f>IF(ISBLANK(A173),"",VLOOKUP(C173,RELACIONES!$A$3:$B$70,2,FALSE))</f>
        <v>Tornillo Auto-Perforante T2 Punta Aguja 6 x 1</v>
      </c>
      <c r="K173" s="40">
        <f>IF(ISBLANK(A173),"",VLOOKUP(J173,RELACIONES!$B$3:$E$83,4,FALSE)*E173)</f>
        <v>858</v>
      </c>
    </row>
    <row r="174" ht="15.75" customHeight="1">
      <c r="A174" s="42" t="s">
        <v>2066</v>
      </c>
      <c r="B174" s="43" t="s">
        <v>2095</v>
      </c>
      <c r="C174" s="42" t="s">
        <v>1444</v>
      </c>
      <c r="D174" s="44" t="s">
        <v>2097</v>
      </c>
      <c r="E174" s="45">
        <v>3.5</v>
      </c>
      <c r="F174" s="44" t="s">
        <v>2129</v>
      </c>
      <c r="G174" s="44" t="s">
        <v>2130</v>
      </c>
      <c r="H174" s="46" t="s">
        <v>2112</v>
      </c>
      <c r="I174" s="34" t="str">
        <f>IF(ISBLANK(A174),"",VLOOKUP(A174,RELACIONES!$G$3:$H$65,2,FALSE()))</f>
        <v>Construcción en Seco Tabique espesor 9.5cm</v>
      </c>
      <c r="J174" s="35" t="str">
        <f>IF(ISBLANK(A174),"",VLOOKUP(C174,RELACIONES!$A$3:$B$70,2,FALSE))</f>
        <v>FIJACIONES (U)</v>
      </c>
      <c r="K174" s="40">
        <f>IF(ISBLANK(A174),"",VLOOKUP(J174,RELACIONES!$B$3:$E$83,4,FALSE)*E174)</f>
        <v>812</v>
      </c>
    </row>
    <row r="175" ht="15.75" customHeight="1">
      <c r="A175" s="42" t="s">
        <v>2066</v>
      </c>
      <c r="B175" s="43" t="s">
        <v>2095</v>
      </c>
      <c r="C175" s="42" t="s">
        <v>2136</v>
      </c>
      <c r="D175" s="44" t="s">
        <v>2111</v>
      </c>
      <c r="E175" s="45">
        <v>3.3</v>
      </c>
      <c r="F175" s="44" t="s">
        <v>2129</v>
      </c>
      <c r="G175" s="44" t="s">
        <v>2130</v>
      </c>
      <c r="H175" s="46" t="s">
        <v>2112</v>
      </c>
      <c r="I175" s="34" t="str">
        <f>IF(ISBLANK(A175),"",VLOOKUP(A175,RELACIONES!$G$3:$H$65,2,FALSE()))</f>
        <v>Construcción en Seco Tabique espesor 9.5cm</v>
      </c>
      <c r="J175" s="35" t="str">
        <f>IF(ISBLANK(A175),"",VLOOKUP(C175,RELACIONES!$A$3:$B$70,2,FALSE))</f>
        <v>Cinta de papel x 76mm - Durlock (rollo de 150 ml)</v>
      </c>
      <c r="K175" s="40">
        <f>IF(ISBLANK(A175),"",VLOOKUP(J175,RELACIONES!$B$3:$E$83,4,FALSE)*E175)</f>
        <v>5.59746</v>
      </c>
    </row>
    <row r="176" ht="15.75" customHeight="1">
      <c r="A176" s="42" t="s">
        <v>2066</v>
      </c>
      <c r="B176" s="43" t="s">
        <v>2095</v>
      </c>
      <c r="C176" s="42" t="s">
        <v>2137</v>
      </c>
      <c r="D176" s="44" t="s">
        <v>2106</v>
      </c>
      <c r="E176" s="45">
        <v>1.8</v>
      </c>
      <c r="F176" s="44" t="s">
        <v>2129</v>
      </c>
      <c r="G176" s="44" t="s">
        <v>2130</v>
      </c>
      <c r="H176" s="44" t="s">
        <v>2104</v>
      </c>
      <c r="I176" s="34" t="str">
        <f>IF(ISBLANK(A176),"",VLOOKUP(A176,RELACIONES!$G$3:$H$65,2,FALSE()))</f>
        <v>Construcción en Seco Tabique espesor 9.5cm</v>
      </c>
      <c r="J176" s="35" t="str">
        <f>IF(ISBLANK(A176),"",VLOOKUP(C176,RELACIONES!$A$3:$B$70,2,FALSE))</f>
        <v>Masilla Durlock (Lista Para Usar)</v>
      </c>
      <c r="K176" s="40">
        <f>IF(ISBLANK(A176),"",VLOOKUP(J176,RELACIONES!$B$3:$E$83,4,FALSE)*E176)</f>
        <v>5979.222</v>
      </c>
    </row>
    <row r="177" ht="15.75" customHeight="1">
      <c r="A177" s="42" t="s">
        <v>2066</v>
      </c>
      <c r="B177" s="43" t="s">
        <v>2095</v>
      </c>
      <c r="C177" s="42" t="s">
        <v>2138</v>
      </c>
      <c r="D177" s="44" t="s">
        <v>2097</v>
      </c>
      <c r="E177" s="45">
        <v>0.067</v>
      </c>
      <c r="F177" s="44" t="s">
        <v>2129</v>
      </c>
      <c r="G177" s="44" t="s">
        <v>2130</v>
      </c>
      <c r="H177" s="46" t="s">
        <v>2112</v>
      </c>
      <c r="I177" s="34" t="str">
        <f>IF(ISBLANK(A177),"",VLOOKUP(A177,RELACIONES!$G$3:$H$65,2,FALSE()))</f>
        <v>Construcción en Seco Tabique espesor 9.5cm</v>
      </c>
      <c r="J177" s="35" t="str">
        <f>IF(ISBLANK(A177),"",VLOOKUP(C177,RELACIONES!$A$3:$B$70,2,FALSE))</f>
        <v>Lija</v>
      </c>
      <c r="K177" s="40">
        <f>IF(ISBLANK(A177),"",VLOOKUP(J177,RELACIONES!$B$3:$E$83,4,FALSE)*E177)</f>
        <v>72.27625</v>
      </c>
    </row>
    <row r="178" ht="15.75" customHeight="1">
      <c r="A178" s="42" t="s">
        <v>2066</v>
      </c>
      <c r="B178" s="43" t="s">
        <v>2095</v>
      </c>
      <c r="C178" s="42" t="s">
        <v>2126</v>
      </c>
      <c r="D178" s="44" t="s">
        <v>2111</v>
      </c>
      <c r="E178" s="45">
        <v>0.3</v>
      </c>
      <c r="F178" s="44" t="s">
        <v>2129</v>
      </c>
      <c r="G178" s="44" t="s">
        <v>2130</v>
      </c>
      <c r="H178" s="46" t="s">
        <v>2112</v>
      </c>
      <c r="I178" s="34" t="str">
        <f>IF(ISBLANK(A178),"",VLOOKUP(A178,RELACIONES!$G$3:$H$65,2,FALSE()))</f>
        <v>Construcción en Seco Tabique espesor 9.5cm</v>
      </c>
      <c r="J178" s="35" t="str">
        <f>IF(ISBLANK(A178),"",VLOOKUP(C178,RELACIONES!$A$3:$B$70,2,FALSE))</f>
        <v>Cinta Papel encubrir 18 mm. x 50 mts</v>
      </c>
      <c r="K178" s="40">
        <f>IF(ISBLANK(A178),"",VLOOKUP(J178,RELACIONES!$B$3:$E$83,4,FALSE)*E178)</f>
        <v>34.52004</v>
      </c>
    </row>
    <row r="179" ht="15.75" customHeight="1">
      <c r="A179" s="36"/>
      <c r="B179" s="36"/>
      <c r="C179" s="36"/>
      <c r="D179" s="36"/>
      <c r="E179" s="37"/>
      <c r="F179" s="36"/>
      <c r="G179" s="36"/>
      <c r="H179" s="36"/>
      <c r="I179" s="34" t="str">
        <f>IF(ISBLANK(A179),"",VLOOKUP(A179,RELACIONES!$G$3:$H$65,2,FALSE()))</f>
        <v/>
      </c>
      <c r="J179" s="35" t="str">
        <f>IF(ISBLANK(A179),"",VLOOKUP(C179,RELACIONES!$A$3:$B$70,2,FALSE))</f>
        <v/>
      </c>
      <c r="K179" s="35" t="str">
        <f>IF(ISBLANK(A179),"",VLOOKUP(J179,RELACIONES!$B$3:$E$83,4,FALSE)*E179)</f>
        <v/>
      </c>
    </row>
    <row r="180" ht="15.75" customHeight="1">
      <c r="A180" s="39" t="s">
        <v>2067</v>
      </c>
      <c r="B180" s="31" t="s">
        <v>2095</v>
      </c>
      <c r="C180" s="42" t="s">
        <v>2128</v>
      </c>
      <c r="D180" s="33" t="s">
        <v>2114</v>
      </c>
      <c r="E180" s="32">
        <v>1.05</v>
      </c>
      <c r="F180" s="33" t="s">
        <v>2129</v>
      </c>
      <c r="G180" s="33" t="s">
        <v>2130</v>
      </c>
      <c r="H180" s="33" t="s">
        <v>2104</v>
      </c>
      <c r="I180" s="34" t="str">
        <f>IF(ISBLANK(A180),"",VLOOKUP(A180,RELACIONES!$G$3:$H$65,2,FALSE()))</f>
        <v>Construcción en Seco Tabique espesor 9.5cm c/aislación acústica</v>
      </c>
      <c r="J180" s="35" t="str">
        <f>IF(ISBLANK(A180),"",VLOOKUP(C180,RELACIONES!$A$3:$B$70,2,FALSE))</f>
        <v>Placa yeso Durlock 9.5mm Std. 1.20 x 2.40 mts.</v>
      </c>
      <c r="K180" s="40">
        <f>IF(ISBLANK(A180),"",VLOOKUP(J180,RELACIONES!$B$3:$E$83,4,FALSE)*E180)</f>
        <v>6307.758333</v>
      </c>
    </row>
    <row r="181" ht="15.75" customHeight="1">
      <c r="A181" s="39" t="s">
        <v>2067</v>
      </c>
      <c r="B181" s="31" t="s">
        <v>2095</v>
      </c>
      <c r="C181" s="39" t="s">
        <v>2131</v>
      </c>
      <c r="D181" s="33" t="s">
        <v>2111</v>
      </c>
      <c r="E181" s="32">
        <v>1.15</v>
      </c>
      <c r="F181" s="33" t="s">
        <v>2129</v>
      </c>
      <c r="G181" s="33" t="s">
        <v>2130</v>
      </c>
      <c r="H181" s="33" t="s">
        <v>2104</v>
      </c>
      <c r="I181" s="34" t="str">
        <f>IF(ISBLANK(A181),"",VLOOKUP(A181,RELACIONES!$G$3:$H$65,2,FALSE()))</f>
        <v>Construcción en Seco Tabique espesor 9.5cm c/aislación acústica</v>
      </c>
      <c r="J181" s="35" t="str">
        <f>IF(ISBLANK(A181),"",VLOOKUP(C181,RELACIONES!$A$3:$B$70,2,FALSE))</f>
        <v>Montante de 69mm x 2.60mts</v>
      </c>
      <c r="K181" s="40">
        <f>IF(ISBLANK(A181),"",VLOOKUP(J181,RELACIONES!$B$3:$E$83,4,FALSE)*E181)</f>
        <v>2741.277115</v>
      </c>
    </row>
    <row r="182" ht="15.75" customHeight="1">
      <c r="A182" s="39" t="s">
        <v>2067</v>
      </c>
      <c r="B182" s="31" t="s">
        <v>2095</v>
      </c>
      <c r="C182" s="39" t="s">
        <v>2132</v>
      </c>
      <c r="D182" s="33" t="s">
        <v>2111</v>
      </c>
      <c r="E182" s="32">
        <v>0.38</v>
      </c>
      <c r="F182" s="33" t="s">
        <v>2129</v>
      </c>
      <c r="G182" s="33" t="s">
        <v>2130</v>
      </c>
      <c r="H182" s="33" t="s">
        <v>2104</v>
      </c>
      <c r="I182" s="34" t="str">
        <f>IF(ISBLANK(A182),"",VLOOKUP(A182,RELACIONES!$G$3:$H$65,2,FALSE()))</f>
        <v>Construcción en Seco Tabique espesor 9.5cm c/aislación acústica</v>
      </c>
      <c r="J182" s="35" t="str">
        <f>IF(ISBLANK(A182),"",VLOOKUP(C182,RELACIONES!$A$3:$B$70,2,FALSE))</f>
        <v>Solera de 70mm x 2.60 mts.</v>
      </c>
      <c r="K182" s="40">
        <f>IF(ISBLANK(A182),"",VLOOKUP(J182,RELACIONES!$B$3:$E$83,4,FALSE)*E182)</f>
        <v>1388.280308</v>
      </c>
    </row>
    <row r="183" ht="15.75" customHeight="1">
      <c r="A183" s="39" t="s">
        <v>2067</v>
      </c>
      <c r="B183" s="31" t="s">
        <v>2095</v>
      </c>
      <c r="C183" s="39" t="s">
        <v>2133</v>
      </c>
      <c r="D183" s="33" t="s">
        <v>2111</v>
      </c>
      <c r="E183" s="32">
        <v>2.1</v>
      </c>
      <c r="F183" s="33" t="s">
        <v>2129</v>
      </c>
      <c r="G183" s="33" t="s">
        <v>2130</v>
      </c>
      <c r="H183" s="33" t="s">
        <v>2104</v>
      </c>
      <c r="I183" s="34" t="str">
        <f>IF(ISBLANK(A183),"",VLOOKUP(A183,RELACIONES!$G$3:$H$65,2,FALSE()))</f>
        <v>Construcción en Seco Tabique espesor 9.5cm c/aislación acústica</v>
      </c>
      <c r="J183" s="35" t="str">
        <f>IF(ISBLANK(A183),"",VLOOKUP(C183,RELACIONES!$A$3:$B$70,2,FALSE))</f>
        <v>Cantonera Durlock Metal Galvanizado x 2,60 m</v>
      </c>
      <c r="K183" s="40">
        <f>IF(ISBLANK(A183),"",VLOOKUP(J183,RELACIONES!$B$3:$E$83,4,FALSE)*E183)</f>
        <v>2794.849615</v>
      </c>
    </row>
    <row r="184" ht="15.75" customHeight="1">
      <c r="A184" s="39" t="s">
        <v>2067</v>
      </c>
      <c r="B184" s="31" t="s">
        <v>2095</v>
      </c>
      <c r="C184" s="39" t="s">
        <v>2134</v>
      </c>
      <c r="D184" s="33" t="s">
        <v>2097</v>
      </c>
      <c r="E184" s="32">
        <v>10.0</v>
      </c>
      <c r="F184" s="33" t="s">
        <v>2129</v>
      </c>
      <c r="G184" s="33" t="s">
        <v>2130</v>
      </c>
      <c r="H184" s="41" t="s">
        <v>2112</v>
      </c>
      <c r="I184" s="34" t="str">
        <f>IF(ISBLANK(A184),"",VLOOKUP(A184,RELACIONES!$G$3:$H$65,2,FALSE()))</f>
        <v>Construcción en Seco Tabique espesor 9.5cm c/aislación acústica</v>
      </c>
      <c r="J184" s="35" t="str">
        <f>IF(ISBLANK(A184),"",VLOOKUP(C184,RELACIONES!$A$3:$B$70,2,FALSE))</f>
        <v>Tornillo Auto-Perforante T2 Punta Aguja 6 x 1</v>
      </c>
      <c r="K184" s="40">
        <f>IF(ISBLANK(A184),"",VLOOKUP(J184,RELACIONES!$B$3:$E$83,4,FALSE)*E184)</f>
        <v>286</v>
      </c>
    </row>
    <row r="185" ht="15.75" customHeight="1">
      <c r="A185" s="39" t="s">
        <v>2067</v>
      </c>
      <c r="B185" s="31" t="s">
        <v>2095</v>
      </c>
      <c r="C185" s="39" t="s">
        <v>2135</v>
      </c>
      <c r="D185" s="33" t="s">
        <v>2097</v>
      </c>
      <c r="E185" s="32">
        <v>30.0</v>
      </c>
      <c r="F185" s="33" t="s">
        <v>2129</v>
      </c>
      <c r="G185" s="33" t="s">
        <v>2130</v>
      </c>
      <c r="H185" s="41" t="s">
        <v>2112</v>
      </c>
      <c r="I185" s="34" t="str">
        <f>IF(ISBLANK(A185),"",VLOOKUP(A185,RELACIONES!$G$3:$H$65,2,FALSE()))</f>
        <v>Construcción en Seco Tabique espesor 9.5cm c/aislación acústica</v>
      </c>
      <c r="J185" s="35" t="str">
        <f>IF(ISBLANK(A185),"",VLOOKUP(C185,RELACIONES!$A$3:$B$70,2,FALSE))</f>
        <v>Tornillo Auto-Perforante T2 Punta Aguja 6 x 1</v>
      </c>
      <c r="K185" s="40">
        <f>IF(ISBLANK(A185),"",VLOOKUP(J185,RELACIONES!$B$3:$E$83,4,FALSE)*E185)</f>
        <v>858</v>
      </c>
    </row>
    <row r="186" ht="15.75" customHeight="1">
      <c r="A186" s="39" t="s">
        <v>2067</v>
      </c>
      <c r="B186" s="31" t="s">
        <v>2095</v>
      </c>
      <c r="C186" s="39" t="s">
        <v>1444</v>
      </c>
      <c r="D186" s="33" t="s">
        <v>2097</v>
      </c>
      <c r="E186" s="32">
        <v>3.5</v>
      </c>
      <c r="F186" s="33" t="s">
        <v>2129</v>
      </c>
      <c r="G186" s="33" t="s">
        <v>2130</v>
      </c>
      <c r="H186" s="41" t="s">
        <v>2112</v>
      </c>
      <c r="I186" s="34" t="str">
        <f>IF(ISBLANK(A186),"",VLOOKUP(A186,RELACIONES!$G$3:$H$65,2,FALSE()))</f>
        <v>Construcción en Seco Tabique espesor 9.5cm c/aislación acústica</v>
      </c>
      <c r="J186" s="35" t="str">
        <f>IF(ISBLANK(A186),"",VLOOKUP(C186,RELACIONES!$A$3:$B$70,2,FALSE))</f>
        <v>FIJACIONES (U)</v>
      </c>
      <c r="K186" s="40">
        <f>IF(ISBLANK(A186),"",VLOOKUP(J186,RELACIONES!$B$3:$E$83,4,FALSE)*E186)</f>
        <v>812</v>
      </c>
    </row>
    <row r="187" ht="15.75" customHeight="1">
      <c r="A187" s="39" t="s">
        <v>2067</v>
      </c>
      <c r="B187" s="31" t="s">
        <v>2095</v>
      </c>
      <c r="C187" s="39" t="s">
        <v>2136</v>
      </c>
      <c r="D187" s="33" t="s">
        <v>2111</v>
      </c>
      <c r="E187" s="32">
        <v>3.3</v>
      </c>
      <c r="F187" s="33" t="s">
        <v>2129</v>
      </c>
      <c r="G187" s="33" t="s">
        <v>2130</v>
      </c>
      <c r="H187" s="41" t="s">
        <v>2112</v>
      </c>
      <c r="I187" s="34" t="str">
        <f>IF(ISBLANK(A187),"",VLOOKUP(A187,RELACIONES!$G$3:$H$65,2,FALSE()))</f>
        <v>Construcción en Seco Tabique espesor 9.5cm c/aislación acústica</v>
      </c>
      <c r="J187" s="35" t="str">
        <f>IF(ISBLANK(A187),"",VLOOKUP(C187,RELACIONES!$A$3:$B$70,2,FALSE))</f>
        <v>Cinta de papel x 76mm - Durlock (rollo de 150 ml)</v>
      </c>
      <c r="K187" s="40">
        <f>IF(ISBLANK(A187),"",VLOOKUP(J187,RELACIONES!$B$3:$E$83,4,FALSE)*E187)</f>
        <v>5.59746</v>
      </c>
    </row>
    <row r="188" ht="15.75" customHeight="1">
      <c r="A188" s="39" t="s">
        <v>2067</v>
      </c>
      <c r="B188" s="31" t="s">
        <v>2095</v>
      </c>
      <c r="C188" s="39" t="s">
        <v>2137</v>
      </c>
      <c r="D188" s="33" t="s">
        <v>2106</v>
      </c>
      <c r="E188" s="32">
        <v>1.8</v>
      </c>
      <c r="F188" s="33" t="s">
        <v>2129</v>
      </c>
      <c r="G188" s="33" t="s">
        <v>2130</v>
      </c>
      <c r="H188" s="33" t="s">
        <v>2104</v>
      </c>
      <c r="I188" s="34" t="str">
        <f>IF(ISBLANK(A188),"",VLOOKUP(A188,RELACIONES!$G$3:$H$65,2,FALSE()))</f>
        <v>Construcción en Seco Tabique espesor 9.5cm c/aislación acústica</v>
      </c>
      <c r="J188" s="35" t="str">
        <f>IF(ISBLANK(A188),"",VLOOKUP(C188,RELACIONES!$A$3:$B$70,2,FALSE))</f>
        <v>Masilla Durlock (Lista Para Usar)</v>
      </c>
      <c r="K188" s="40">
        <f>IF(ISBLANK(A188),"",VLOOKUP(J188,RELACIONES!$B$3:$E$83,4,FALSE)*E188)</f>
        <v>5979.222</v>
      </c>
    </row>
    <row r="189" ht="15.75" customHeight="1">
      <c r="A189" s="39" t="s">
        <v>2067</v>
      </c>
      <c r="B189" s="31" t="s">
        <v>2095</v>
      </c>
      <c r="C189" s="39" t="s">
        <v>2139</v>
      </c>
      <c r="D189" s="33" t="s">
        <v>2114</v>
      </c>
      <c r="E189" s="32">
        <v>1.05</v>
      </c>
      <c r="F189" s="33" t="s">
        <v>2129</v>
      </c>
      <c r="G189" s="33" t="s">
        <v>2130</v>
      </c>
      <c r="H189" s="33" t="s">
        <v>2104</v>
      </c>
      <c r="I189" s="34" t="str">
        <f>IF(ISBLANK(A189),"",VLOOKUP(A189,RELACIONES!$G$3:$H$65,2,FALSE()))</f>
        <v>Construcción en Seco Tabique espesor 9.5cm c/aislación acústica</v>
      </c>
      <c r="J189" s="35" t="str">
        <f>IF(ISBLANK(A189),"",VLOOKUP(C189,RELACIONES!$A$3:$B$70,2,FALSE))</f>
        <v>Aislante Lana de Vidrio Isover Rolac Plata Muro, esp 70 mm.</v>
      </c>
      <c r="K189" s="40">
        <f>IF(ISBLANK(A189),"",VLOOKUP(J189,RELACIONES!$B$3:$E$83,4,FALSE)*E189)</f>
        <v>26491.227</v>
      </c>
    </row>
    <row r="190" ht="15.75" customHeight="1">
      <c r="A190" s="39" t="s">
        <v>2067</v>
      </c>
      <c r="B190" s="31" t="s">
        <v>2095</v>
      </c>
      <c r="C190" s="39" t="s">
        <v>2138</v>
      </c>
      <c r="D190" s="33" t="s">
        <v>2097</v>
      </c>
      <c r="E190" s="32">
        <v>0.067</v>
      </c>
      <c r="F190" s="33" t="s">
        <v>2129</v>
      </c>
      <c r="G190" s="33" t="s">
        <v>2130</v>
      </c>
      <c r="H190" s="41" t="s">
        <v>2112</v>
      </c>
      <c r="I190" s="34" t="str">
        <f>IF(ISBLANK(A190),"",VLOOKUP(A190,RELACIONES!$G$3:$H$65,2,FALSE()))</f>
        <v>Construcción en Seco Tabique espesor 9.5cm c/aislación acústica</v>
      </c>
      <c r="J190" s="35" t="str">
        <f>IF(ISBLANK(A190),"",VLOOKUP(C190,RELACIONES!$A$3:$B$70,2,FALSE))</f>
        <v>Lija</v>
      </c>
      <c r="K190" s="40">
        <f>IF(ISBLANK(A190),"",VLOOKUP(J190,RELACIONES!$B$3:$E$83,4,FALSE)*E190)</f>
        <v>72.27625</v>
      </c>
    </row>
    <row r="191" ht="15.75" customHeight="1">
      <c r="A191" s="39" t="s">
        <v>2067</v>
      </c>
      <c r="B191" s="31" t="s">
        <v>2095</v>
      </c>
      <c r="C191" s="39" t="s">
        <v>2126</v>
      </c>
      <c r="D191" s="33" t="s">
        <v>2111</v>
      </c>
      <c r="E191" s="32">
        <v>0.3</v>
      </c>
      <c r="F191" s="33" t="s">
        <v>2129</v>
      </c>
      <c r="G191" s="33" t="s">
        <v>2130</v>
      </c>
      <c r="H191" s="41" t="s">
        <v>2112</v>
      </c>
      <c r="I191" s="34" t="str">
        <f>IF(ISBLANK(A191),"",VLOOKUP(A191,RELACIONES!$G$3:$H$65,2,FALSE()))</f>
        <v>Construcción en Seco Tabique espesor 9.5cm c/aislación acústica</v>
      </c>
      <c r="J191" s="35" t="str">
        <f>IF(ISBLANK(A191),"",VLOOKUP(C191,RELACIONES!$A$3:$B$70,2,FALSE))</f>
        <v>Cinta Papel encubrir 18 mm. x 50 mts</v>
      </c>
      <c r="K191" s="40">
        <f>IF(ISBLANK(A191),"",VLOOKUP(J191,RELACIONES!$B$3:$E$83,4,FALSE)*E191)</f>
        <v>34.52004</v>
      </c>
    </row>
    <row r="192" ht="15.75" customHeight="1">
      <c r="A192" s="36"/>
      <c r="B192" s="36"/>
      <c r="C192" s="36"/>
      <c r="D192" s="36"/>
      <c r="E192" s="37"/>
      <c r="F192" s="36"/>
      <c r="G192" s="36"/>
      <c r="H192" s="36"/>
      <c r="I192" s="34" t="str">
        <f>IF(ISBLANK(A192),"",VLOOKUP(A192,RELACIONES!$G$3:$H$65,2,FALSE()))</f>
        <v/>
      </c>
      <c r="J192" s="35" t="str">
        <f>IF(ISBLANK(A192),"",VLOOKUP(C192,RELACIONES!$A$3:$B$70,2,FALSE))</f>
        <v/>
      </c>
      <c r="K192" s="35" t="str">
        <f>IF(ISBLANK(A192),"",VLOOKUP(J192,RELACIONES!$B$3:$E$83,4,FALSE)*E192)</f>
        <v/>
      </c>
    </row>
    <row r="193" ht="15.75" customHeight="1">
      <c r="A193" s="36"/>
      <c r="B193" s="36"/>
      <c r="C193" s="36"/>
      <c r="D193" s="36"/>
      <c r="E193" s="37"/>
      <c r="F193" s="36"/>
      <c r="G193" s="36"/>
      <c r="H193" s="36"/>
      <c r="I193" s="34" t="str">
        <f>IF(ISBLANK(A193),"",VLOOKUP(A193,RELACIONES!$G$3:$H$65,2,FALSE()))</f>
        <v/>
      </c>
      <c r="J193" s="35" t="str">
        <f>IF(ISBLANK(A193),"",VLOOKUP(C193,RELACIONES!$A$3:$B$70,2,FALSE))</f>
        <v/>
      </c>
      <c r="K193" s="35" t="str">
        <f>IF(ISBLANK(A193),"",VLOOKUP(J193,RELACIONES!$B$3:$E$83,4,FALSE)*E193)</f>
        <v/>
      </c>
    </row>
    <row r="194" ht="15.75" customHeight="1">
      <c r="A194" s="39" t="s">
        <v>2068</v>
      </c>
      <c r="B194" s="31" t="s">
        <v>2095</v>
      </c>
      <c r="C194" s="39" t="s">
        <v>2140</v>
      </c>
      <c r="D194" s="33" t="s">
        <v>2114</v>
      </c>
      <c r="E194" s="32">
        <v>1.05</v>
      </c>
      <c r="F194" s="33" t="s">
        <v>2129</v>
      </c>
      <c r="G194" s="33" t="s">
        <v>2130</v>
      </c>
      <c r="H194" s="33" t="s">
        <v>2104</v>
      </c>
      <c r="I194" s="34" t="str">
        <f>IF(ISBLANK(A194),"",VLOOKUP(A194,RELACIONES!$G$3:$H$65,2,FALSE()))</f>
        <v>Construcción en Seco Tabique espesor 9.5cm c/aislación acústica</v>
      </c>
      <c r="J194" s="35" t="str">
        <f>IF(ISBLANK(A194),"",VLOOKUP(C194,RELACIONES!$A$3:$B$70,2,FALSE))</f>
        <v>Placa Yeso Durlock RH 12.5 1.20 x 2.40 mts. (Resistente Humedad)</v>
      </c>
      <c r="K194" s="40">
        <f>IF(ISBLANK(A194),"",VLOOKUP(J194,RELACIONES!$B$3:$E$83,4,FALSE)*E194)</f>
        <v>14223.38021</v>
      </c>
    </row>
    <row r="195" ht="15.75" customHeight="1">
      <c r="A195" s="39" t="s">
        <v>2068</v>
      </c>
      <c r="B195" s="31" t="s">
        <v>2095</v>
      </c>
      <c r="C195" s="39" t="s">
        <v>2141</v>
      </c>
      <c r="D195" s="33" t="s">
        <v>2114</v>
      </c>
      <c r="E195" s="32">
        <v>1.05</v>
      </c>
      <c r="F195" s="33" t="s">
        <v>2129</v>
      </c>
      <c r="G195" s="33" t="s">
        <v>2130</v>
      </c>
      <c r="H195" s="33" t="s">
        <v>2104</v>
      </c>
      <c r="I195" s="34" t="str">
        <f>IF(ISBLANK(A195),"",VLOOKUP(A195,RELACIONES!$G$3:$H$65,2,FALSE()))</f>
        <v>Construcción en Seco Tabique espesor 9.5cm c/aislación acústica</v>
      </c>
      <c r="J195" s="35" t="str">
        <f>IF(ISBLANK(A195),"",VLOOKUP(C195,RELACIONES!$A$3:$B$70,2,FALSE))</f>
        <v>Placa Yeso Durlock 12.5mm Std. 1.20 x 2.40 mts.</v>
      </c>
      <c r="K195" s="40">
        <f>IF(ISBLANK(A195),"",VLOOKUP(J195,RELACIONES!$B$3:$E$83,4,FALSE)*E195)</f>
        <v>9152.434375</v>
      </c>
    </row>
    <row r="196" ht="15.75" customHeight="1">
      <c r="A196" s="39" t="s">
        <v>2068</v>
      </c>
      <c r="B196" s="31" t="s">
        <v>2095</v>
      </c>
      <c r="C196" s="39" t="s">
        <v>1445</v>
      </c>
      <c r="D196" s="33" t="s">
        <v>2114</v>
      </c>
      <c r="E196" s="32">
        <v>1.05</v>
      </c>
      <c r="F196" s="33" t="s">
        <v>2129</v>
      </c>
      <c r="G196" s="33" t="s">
        <v>2130</v>
      </c>
      <c r="H196" s="33" t="s">
        <v>2104</v>
      </c>
      <c r="I196" s="34" t="str">
        <f>IF(ISBLANK(A196),"",VLOOKUP(A196,RELACIONES!$G$3:$H$65,2,FALSE()))</f>
        <v>Construcción en Seco Tabique espesor 9.5cm c/aislación acústica</v>
      </c>
      <c r="J196" s="35" t="str">
        <f>IF(ISBLANK(A196),"",VLOOKUP(C196,RELACIONES!$A$3:$B$70,2,FALSE))</f>
        <v>MEMBRANA HIDROFUGA TIPO TYBEK (M2)</v>
      </c>
      <c r="K196" s="40">
        <f>IF(ISBLANK(A196),"",VLOOKUP(J196,RELACIONES!$B$3:$E$83,4,FALSE)*E196)</f>
        <v>5950</v>
      </c>
    </row>
    <row r="197" ht="15.75" customHeight="1">
      <c r="A197" s="39" t="s">
        <v>2068</v>
      </c>
      <c r="B197" s="31" t="s">
        <v>2095</v>
      </c>
      <c r="C197" s="39" t="s">
        <v>2131</v>
      </c>
      <c r="D197" s="33" t="s">
        <v>2111</v>
      </c>
      <c r="E197" s="32">
        <v>1.15</v>
      </c>
      <c r="F197" s="33" t="s">
        <v>2129</v>
      </c>
      <c r="G197" s="33" t="s">
        <v>2130</v>
      </c>
      <c r="H197" s="33" t="s">
        <v>2104</v>
      </c>
      <c r="I197" s="34" t="str">
        <f>IF(ISBLANK(A197),"",VLOOKUP(A197,RELACIONES!$G$3:$H$65,2,FALSE()))</f>
        <v>Construcción en Seco Tabique espesor 9.5cm c/aislación acústica</v>
      </c>
      <c r="J197" s="35" t="str">
        <f>IF(ISBLANK(A197),"",VLOOKUP(C197,RELACIONES!$A$3:$B$70,2,FALSE))</f>
        <v>Montante de 69mm x 2.60mts</v>
      </c>
      <c r="K197" s="40">
        <f>IF(ISBLANK(A197),"",VLOOKUP(J197,RELACIONES!$B$3:$E$83,4,FALSE)*E197)</f>
        <v>2741.277115</v>
      </c>
    </row>
    <row r="198" ht="15.75" customHeight="1">
      <c r="A198" s="39" t="s">
        <v>2068</v>
      </c>
      <c r="B198" s="31" t="s">
        <v>2095</v>
      </c>
      <c r="C198" s="39" t="s">
        <v>2132</v>
      </c>
      <c r="D198" s="33" t="s">
        <v>2111</v>
      </c>
      <c r="E198" s="32">
        <v>0.38</v>
      </c>
      <c r="F198" s="33" t="s">
        <v>2129</v>
      </c>
      <c r="G198" s="33" t="s">
        <v>2130</v>
      </c>
      <c r="H198" s="33" t="s">
        <v>2104</v>
      </c>
      <c r="I198" s="34" t="str">
        <f>IF(ISBLANK(A198),"",VLOOKUP(A198,RELACIONES!$G$3:$H$65,2,FALSE()))</f>
        <v>Construcción en Seco Tabique espesor 9.5cm c/aislación acústica</v>
      </c>
      <c r="J198" s="35" t="str">
        <f>IF(ISBLANK(A198),"",VLOOKUP(C198,RELACIONES!$A$3:$B$70,2,FALSE))</f>
        <v>Solera de 70mm x 2.60 mts.</v>
      </c>
      <c r="K198" s="40">
        <f>IF(ISBLANK(A198),"",VLOOKUP(J198,RELACIONES!$B$3:$E$83,4,FALSE)*E198)</f>
        <v>1388.280308</v>
      </c>
    </row>
    <row r="199" ht="15.75" customHeight="1">
      <c r="A199" s="39" t="s">
        <v>2068</v>
      </c>
      <c r="B199" s="31" t="s">
        <v>2095</v>
      </c>
      <c r="C199" s="39" t="s">
        <v>2133</v>
      </c>
      <c r="D199" s="33" t="s">
        <v>2111</v>
      </c>
      <c r="E199" s="32">
        <v>2.1</v>
      </c>
      <c r="F199" s="33" t="s">
        <v>2129</v>
      </c>
      <c r="G199" s="33" t="s">
        <v>2130</v>
      </c>
      <c r="H199" s="33" t="s">
        <v>2104</v>
      </c>
      <c r="I199" s="34" t="str">
        <f>IF(ISBLANK(A199),"",VLOOKUP(A199,RELACIONES!$G$3:$H$65,2,FALSE()))</f>
        <v>Construcción en Seco Tabique espesor 9.5cm c/aislación acústica</v>
      </c>
      <c r="J199" s="35" t="str">
        <f>IF(ISBLANK(A199),"",VLOOKUP(C199,RELACIONES!$A$3:$B$70,2,FALSE))</f>
        <v>Cantonera Durlock Metal Galvanizado x 2,60 m</v>
      </c>
      <c r="K199" s="40">
        <f>IF(ISBLANK(A199),"",VLOOKUP(J199,RELACIONES!$B$3:$E$83,4,FALSE)*E199)</f>
        <v>2794.849615</v>
      </c>
    </row>
    <row r="200" ht="15.75" customHeight="1">
      <c r="A200" s="39" t="s">
        <v>2068</v>
      </c>
      <c r="B200" s="31" t="s">
        <v>2095</v>
      </c>
      <c r="C200" s="39" t="s">
        <v>2134</v>
      </c>
      <c r="D200" s="33" t="s">
        <v>2097</v>
      </c>
      <c r="E200" s="32">
        <v>10.0</v>
      </c>
      <c r="F200" s="33" t="s">
        <v>2129</v>
      </c>
      <c r="G200" s="33" t="s">
        <v>2130</v>
      </c>
      <c r="H200" s="41" t="s">
        <v>2112</v>
      </c>
      <c r="I200" s="34" t="str">
        <f>IF(ISBLANK(A200),"",VLOOKUP(A200,RELACIONES!$G$3:$H$65,2,FALSE()))</f>
        <v>Construcción en Seco Tabique espesor 9.5cm c/aislación acústica</v>
      </c>
      <c r="J200" s="35" t="str">
        <f>IF(ISBLANK(A200),"",VLOOKUP(C200,RELACIONES!$A$3:$B$70,2,FALSE))</f>
        <v>Tornillo Auto-Perforante T2 Punta Aguja 6 x 1</v>
      </c>
      <c r="K200" s="40">
        <f>IF(ISBLANK(A200),"",VLOOKUP(J200,RELACIONES!$B$3:$E$83,4,FALSE)*E200)</f>
        <v>286</v>
      </c>
    </row>
    <row r="201" ht="15.75" customHeight="1">
      <c r="A201" s="39" t="s">
        <v>2068</v>
      </c>
      <c r="B201" s="31" t="s">
        <v>2095</v>
      </c>
      <c r="C201" s="39" t="s">
        <v>2135</v>
      </c>
      <c r="D201" s="33" t="s">
        <v>2097</v>
      </c>
      <c r="E201" s="32">
        <v>15.0</v>
      </c>
      <c r="F201" s="33" t="s">
        <v>2129</v>
      </c>
      <c r="G201" s="33" t="s">
        <v>2130</v>
      </c>
      <c r="H201" s="41" t="s">
        <v>2112</v>
      </c>
      <c r="I201" s="34" t="str">
        <f>IF(ISBLANK(A201),"",VLOOKUP(A201,RELACIONES!$G$3:$H$65,2,FALSE()))</f>
        <v>Construcción en Seco Tabique espesor 9.5cm c/aislación acústica</v>
      </c>
      <c r="J201" s="35" t="str">
        <f>IF(ISBLANK(A201),"",VLOOKUP(C201,RELACIONES!$A$3:$B$70,2,FALSE))</f>
        <v>Tornillo Auto-Perforante T2 Punta Aguja 6 x 1</v>
      </c>
      <c r="K201" s="40">
        <f>IF(ISBLANK(A201),"",VLOOKUP(J201,RELACIONES!$B$3:$E$83,4,FALSE)*E201)</f>
        <v>429</v>
      </c>
    </row>
    <row r="202" ht="15.75" customHeight="1">
      <c r="A202" s="39" t="s">
        <v>2068</v>
      </c>
      <c r="B202" s="31" t="s">
        <v>2095</v>
      </c>
      <c r="C202" s="39" t="s">
        <v>2142</v>
      </c>
      <c r="D202" s="33" t="s">
        <v>2097</v>
      </c>
      <c r="E202" s="32">
        <v>30.0</v>
      </c>
      <c r="F202" s="33" t="s">
        <v>2129</v>
      </c>
      <c r="G202" s="33" t="s">
        <v>2130</v>
      </c>
      <c r="H202" s="41" t="s">
        <v>2112</v>
      </c>
      <c r="I202" s="34" t="str">
        <f>IF(ISBLANK(A202),"",VLOOKUP(A202,RELACIONES!$G$3:$H$65,2,FALSE()))</f>
        <v>Construcción en Seco Tabique espesor 9.5cm c/aislación acústica</v>
      </c>
      <c r="J202" s="35" t="str">
        <f>IF(ISBLANK(A202),"",VLOOKUP(C202,RELACIONES!$A$3:$B$70,2,FALSE))</f>
        <v>Tornillo Auto-Perforante T3 Punta Aguja 6 x 11/2</v>
      </c>
      <c r="K202" s="40">
        <f>IF(ISBLANK(A202),"",VLOOKUP(J202,RELACIONES!$B$3:$E$83,4,FALSE)*E202)</f>
        <v>1909.2</v>
      </c>
    </row>
    <row r="203" ht="15.75" customHeight="1">
      <c r="A203" s="39" t="s">
        <v>2068</v>
      </c>
      <c r="B203" s="31" t="s">
        <v>2095</v>
      </c>
      <c r="C203" s="39" t="s">
        <v>1444</v>
      </c>
      <c r="D203" s="33" t="s">
        <v>2097</v>
      </c>
      <c r="E203" s="32">
        <v>3.5</v>
      </c>
      <c r="F203" s="33" t="s">
        <v>2129</v>
      </c>
      <c r="G203" s="33" t="s">
        <v>2130</v>
      </c>
      <c r="H203" s="41" t="s">
        <v>2112</v>
      </c>
      <c r="I203" s="34" t="str">
        <f>IF(ISBLANK(A203),"",VLOOKUP(A203,RELACIONES!$G$3:$H$65,2,FALSE()))</f>
        <v>Construcción en Seco Tabique espesor 9.5cm c/aislación acústica</v>
      </c>
      <c r="J203" s="35" t="str">
        <f>IF(ISBLANK(A203),"",VLOOKUP(C203,RELACIONES!$A$3:$B$70,2,FALSE))</f>
        <v>FIJACIONES (U)</v>
      </c>
      <c r="K203" s="40">
        <f>IF(ISBLANK(A203),"",VLOOKUP(J203,RELACIONES!$B$3:$E$83,4,FALSE)*E203)</f>
        <v>812</v>
      </c>
    </row>
    <row r="204" ht="15.75" customHeight="1">
      <c r="A204" s="39" t="s">
        <v>2068</v>
      </c>
      <c r="B204" s="31" t="s">
        <v>2095</v>
      </c>
      <c r="C204" s="39" t="s">
        <v>2136</v>
      </c>
      <c r="D204" s="33" t="s">
        <v>2111</v>
      </c>
      <c r="E204" s="32">
        <v>3.3</v>
      </c>
      <c r="F204" s="33" t="s">
        <v>2129</v>
      </c>
      <c r="G204" s="33" t="s">
        <v>2130</v>
      </c>
      <c r="H204" s="41" t="s">
        <v>2112</v>
      </c>
      <c r="I204" s="34" t="str">
        <f>IF(ISBLANK(A204),"",VLOOKUP(A204,RELACIONES!$G$3:$H$65,2,FALSE()))</f>
        <v>Construcción en Seco Tabique espesor 9.5cm c/aislación acústica</v>
      </c>
      <c r="J204" s="35" t="str">
        <f>IF(ISBLANK(A204),"",VLOOKUP(C204,RELACIONES!$A$3:$B$70,2,FALSE))</f>
        <v>Cinta de papel x 76mm - Durlock (rollo de 150 ml)</v>
      </c>
      <c r="K204" s="40">
        <f>IF(ISBLANK(A204),"",VLOOKUP(J204,RELACIONES!$B$3:$E$83,4,FALSE)*E204)</f>
        <v>5.59746</v>
      </c>
    </row>
    <row r="205" ht="15.75" customHeight="1">
      <c r="A205" s="39" t="s">
        <v>2068</v>
      </c>
      <c r="B205" s="31" t="s">
        <v>2095</v>
      </c>
      <c r="C205" s="39" t="s">
        <v>2137</v>
      </c>
      <c r="D205" s="33" t="s">
        <v>2106</v>
      </c>
      <c r="E205" s="32">
        <v>1.8</v>
      </c>
      <c r="F205" s="33" t="s">
        <v>2129</v>
      </c>
      <c r="G205" s="33" t="s">
        <v>2130</v>
      </c>
      <c r="H205" s="33" t="s">
        <v>2104</v>
      </c>
      <c r="I205" s="34" t="str">
        <f>IF(ISBLANK(A205),"",VLOOKUP(A205,RELACIONES!$G$3:$H$65,2,FALSE()))</f>
        <v>Construcción en Seco Tabique espesor 9.5cm c/aislación acústica</v>
      </c>
      <c r="J205" s="35" t="str">
        <f>IF(ISBLANK(A205),"",VLOOKUP(C205,RELACIONES!$A$3:$B$70,2,FALSE))</f>
        <v>Masilla Durlock (Lista Para Usar)</v>
      </c>
      <c r="K205" s="40">
        <f>IF(ISBLANK(A205),"",VLOOKUP(J205,RELACIONES!$B$3:$E$83,4,FALSE)*E205)</f>
        <v>5979.222</v>
      </c>
    </row>
    <row r="206" ht="15.75" customHeight="1">
      <c r="A206" s="39" t="s">
        <v>2068</v>
      </c>
      <c r="B206" s="31" t="s">
        <v>2095</v>
      </c>
      <c r="C206" s="39" t="s">
        <v>2139</v>
      </c>
      <c r="D206" s="33" t="s">
        <v>2114</v>
      </c>
      <c r="E206" s="32">
        <v>1.05</v>
      </c>
      <c r="F206" s="33" t="s">
        <v>2129</v>
      </c>
      <c r="G206" s="33" t="s">
        <v>2130</v>
      </c>
      <c r="H206" s="33" t="s">
        <v>2104</v>
      </c>
      <c r="I206" s="34" t="str">
        <f>IF(ISBLANK(A206),"",VLOOKUP(A206,RELACIONES!$G$3:$H$65,2,FALSE()))</f>
        <v>Construcción en Seco Tabique espesor 9.5cm c/aislación acústica</v>
      </c>
      <c r="J206" s="35" t="str">
        <f>IF(ISBLANK(A206),"",VLOOKUP(C206,RELACIONES!$A$3:$B$70,2,FALSE))</f>
        <v>Aislante Lana de Vidrio Isover Rolac Plata Muro, esp 70 mm.</v>
      </c>
      <c r="K206" s="40">
        <f>IF(ISBLANK(A206),"",VLOOKUP(J206,RELACIONES!$B$3:$E$83,4,FALSE)*E206)</f>
        <v>26491.227</v>
      </c>
    </row>
    <row r="207" ht="15.75" customHeight="1">
      <c r="A207" s="39" t="s">
        <v>2068</v>
      </c>
      <c r="B207" s="31" t="s">
        <v>2095</v>
      </c>
      <c r="C207" s="39" t="s">
        <v>2138</v>
      </c>
      <c r="D207" s="33" t="s">
        <v>2097</v>
      </c>
      <c r="E207" s="32">
        <v>0.067</v>
      </c>
      <c r="F207" s="33" t="s">
        <v>2129</v>
      </c>
      <c r="G207" s="33" t="s">
        <v>2130</v>
      </c>
      <c r="H207" s="41" t="s">
        <v>2112</v>
      </c>
      <c r="I207" s="34" t="str">
        <f>IF(ISBLANK(A207),"",VLOOKUP(A207,RELACIONES!$G$3:$H$65,2,FALSE()))</f>
        <v>Construcción en Seco Tabique espesor 9.5cm c/aislación acústica</v>
      </c>
      <c r="J207" s="35" t="str">
        <f>IF(ISBLANK(A207),"",VLOOKUP(C207,RELACIONES!$A$3:$B$70,2,FALSE))</f>
        <v>Lija</v>
      </c>
      <c r="K207" s="40">
        <f>IF(ISBLANK(A207),"",VLOOKUP(J207,RELACIONES!$B$3:$E$83,4,FALSE)*E207)</f>
        <v>72.27625</v>
      </c>
    </row>
    <row r="208" ht="15.75" customHeight="1">
      <c r="A208" s="39" t="s">
        <v>2068</v>
      </c>
      <c r="B208" s="31" t="s">
        <v>2095</v>
      </c>
      <c r="C208" s="39" t="s">
        <v>2126</v>
      </c>
      <c r="D208" s="33" t="s">
        <v>2111</v>
      </c>
      <c r="E208" s="32">
        <v>0.3</v>
      </c>
      <c r="F208" s="33" t="s">
        <v>2129</v>
      </c>
      <c r="G208" s="33" t="s">
        <v>2130</v>
      </c>
      <c r="H208" s="41" t="s">
        <v>2112</v>
      </c>
      <c r="I208" s="34" t="str">
        <f>IF(ISBLANK(A208),"",VLOOKUP(A208,RELACIONES!$G$3:$H$65,2,FALSE()))</f>
        <v>Construcción en Seco Tabique espesor 9.5cm c/aislación acústica</v>
      </c>
      <c r="J208" s="35" t="str">
        <f>IF(ISBLANK(A208),"",VLOOKUP(C208,RELACIONES!$A$3:$B$70,2,FALSE))</f>
        <v>Cinta Papel encubrir 18 mm. x 50 mts</v>
      </c>
      <c r="K208" s="40">
        <f>IF(ISBLANK(A208),"",VLOOKUP(J208,RELACIONES!$B$3:$E$83,4,FALSE)*E208)</f>
        <v>34.52004</v>
      </c>
    </row>
    <row r="209" ht="15.75" customHeight="1">
      <c r="A209" s="36"/>
      <c r="B209" s="36"/>
      <c r="C209" s="36"/>
      <c r="D209" s="36"/>
      <c r="E209" s="37"/>
      <c r="F209" s="36"/>
      <c r="G209" s="36"/>
      <c r="H209" s="36"/>
      <c r="I209" s="34" t="str">
        <f>IF(ISBLANK(A209),"",VLOOKUP(A209,RELACIONES!$G$3:$H$65,2,FALSE()))</f>
        <v/>
      </c>
      <c r="J209" s="35" t="str">
        <f>IF(ISBLANK(A209),"",VLOOKUP(C209,RELACIONES!$A$3:$B$70,2,FALSE))</f>
        <v/>
      </c>
      <c r="K209" s="35" t="str">
        <f>IF(ISBLANK(A209),"",VLOOKUP(J209,RELACIONES!$B$3:$E$83,4,FALSE)*E209)</f>
        <v/>
      </c>
    </row>
    <row r="210" ht="15.75" customHeight="1">
      <c r="A210" s="39" t="s">
        <v>2069</v>
      </c>
      <c r="B210" s="31" t="s">
        <v>2095</v>
      </c>
      <c r="C210" s="39" t="s">
        <v>2140</v>
      </c>
      <c r="D210" s="33" t="s">
        <v>2114</v>
      </c>
      <c r="E210" s="32">
        <v>1.05</v>
      </c>
      <c r="F210" s="33" t="s">
        <v>2129</v>
      </c>
      <c r="G210" s="33" t="s">
        <v>2130</v>
      </c>
      <c r="H210" s="33" t="s">
        <v>2104</v>
      </c>
      <c r="I210" s="34" t="str">
        <f>IF(ISBLANK(A210),"",VLOOKUP(A210,RELACIONES!$G$3:$H$65,2,FALSE()))</f>
        <v>Construcción en Seco Tabique espesor 9.5cm c/aislación acústica</v>
      </c>
      <c r="J210" s="35" t="str">
        <f>IF(ISBLANK(A210),"",VLOOKUP(C210,RELACIONES!$A$3:$B$70,2,FALSE))</f>
        <v>Placa Yeso Durlock RH 12.5 1.20 x 2.40 mts. (Resistente Humedad)</v>
      </c>
      <c r="K210" s="40">
        <f>IF(ISBLANK(A210),"",VLOOKUP(J210,RELACIONES!$B$3:$E$83,4,FALSE)*E210)</f>
        <v>14223.38021</v>
      </c>
    </row>
    <row r="211" ht="15.75" customHeight="1">
      <c r="A211" s="39" t="s">
        <v>2069</v>
      </c>
      <c r="B211" s="31" t="s">
        <v>2095</v>
      </c>
      <c r="C211" s="39" t="s">
        <v>2141</v>
      </c>
      <c r="D211" s="33" t="s">
        <v>2114</v>
      </c>
      <c r="E211" s="32">
        <v>1.05</v>
      </c>
      <c r="F211" s="33" t="s">
        <v>2129</v>
      </c>
      <c r="G211" s="33" t="s">
        <v>2130</v>
      </c>
      <c r="H211" s="33" t="s">
        <v>2104</v>
      </c>
      <c r="I211" s="34" t="str">
        <f>IF(ISBLANK(A211),"",VLOOKUP(A211,RELACIONES!$G$3:$H$65,2,FALSE()))</f>
        <v>Construcción en Seco Tabique espesor 9.5cm c/aislación acústica</v>
      </c>
      <c r="J211" s="35" t="str">
        <f>IF(ISBLANK(A211),"",VLOOKUP(C211,RELACIONES!$A$3:$B$70,2,FALSE))</f>
        <v>Placa Yeso Durlock 12.5mm Std. 1.20 x 2.40 mts.</v>
      </c>
      <c r="K211" s="40">
        <f>IF(ISBLANK(A211),"",VLOOKUP(J211,RELACIONES!$B$3:$E$83,4,FALSE)*E211)</f>
        <v>9152.434375</v>
      </c>
    </row>
    <row r="212" ht="15.75" customHeight="1">
      <c r="A212" s="39" t="s">
        <v>2069</v>
      </c>
      <c r="B212" s="31" t="s">
        <v>2095</v>
      </c>
      <c r="C212" s="39" t="s">
        <v>2131</v>
      </c>
      <c r="D212" s="33" t="s">
        <v>2111</v>
      </c>
      <c r="E212" s="32">
        <v>1.15</v>
      </c>
      <c r="F212" s="33" t="s">
        <v>2129</v>
      </c>
      <c r="G212" s="33" t="s">
        <v>2130</v>
      </c>
      <c r="H212" s="33" t="s">
        <v>2104</v>
      </c>
      <c r="I212" s="34" t="str">
        <f>IF(ISBLANK(A212),"",VLOOKUP(A212,RELACIONES!$G$3:$H$65,2,FALSE()))</f>
        <v>Construcción en Seco Tabique espesor 9.5cm c/aislación acústica</v>
      </c>
      <c r="J212" s="35" t="str">
        <f>IF(ISBLANK(A212),"",VLOOKUP(C212,RELACIONES!$A$3:$B$70,2,FALSE))</f>
        <v>Montante de 69mm x 2.60mts</v>
      </c>
      <c r="K212" s="40">
        <f>IF(ISBLANK(A212),"",VLOOKUP(J212,RELACIONES!$B$3:$E$83,4,FALSE)*E212)</f>
        <v>2741.277115</v>
      </c>
    </row>
    <row r="213" ht="15.75" customHeight="1">
      <c r="A213" s="39" t="s">
        <v>2069</v>
      </c>
      <c r="B213" s="31" t="s">
        <v>2095</v>
      </c>
      <c r="C213" s="39" t="s">
        <v>2132</v>
      </c>
      <c r="D213" s="33" t="s">
        <v>2111</v>
      </c>
      <c r="E213" s="32">
        <v>0.38</v>
      </c>
      <c r="F213" s="33" t="s">
        <v>2129</v>
      </c>
      <c r="G213" s="33" t="s">
        <v>2130</v>
      </c>
      <c r="H213" s="33" t="s">
        <v>2104</v>
      </c>
      <c r="I213" s="34" t="str">
        <f>IF(ISBLANK(A213),"",VLOOKUP(A213,RELACIONES!$G$3:$H$65,2,FALSE()))</f>
        <v>Construcción en Seco Tabique espesor 9.5cm c/aislación acústica</v>
      </c>
      <c r="J213" s="35" t="str">
        <f>IF(ISBLANK(A213),"",VLOOKUP(C213,RELACIONES!$A$3:$B$70,2,FALSE))</f>
        <v>Solera de 70mm x 2.60 mts.</v>
      </c>
      <c r="K213" s="40">
        <f>IF(ISBLANK(A213),"",VLOOKUP(J213,RELACIONES!$B$3:$E$83,4,FALSE)*E213)</f>
        <v>1388.280308</v>
      </c>
    </row>
    <row r="214" ht="15.75" customHeight="1">
      <c r="A214" s="39" t="s">
        <v>2069</v>
      </c>
      <c r="B214" s="31" t="s">
        <v>2095</v>
      </c>
      <c r="C214" s="39" t="s">
        <v>2133</v>
      </c>
      <c r="D214" s="33" t="s">
        <v>2111</v>
      </c>
      <c r="E214" s="32">
        <v>2.1</v>
      </c>
      <c r="F214" s="33" t="s">
        <v>2129</v>
      </c>
      <c r="G214" s="33" t="s">
        <v>2130</v>
      </c>
      <c r="H214" s="33" t="s">
        <v>2104</v>
      </c>
      <c r="I214" s="34" t="str">
        <f>IF(ISBLANK(A214),"",VLOOKUP(A214,RELACIONES!$G$3:$H$65,2,FALSE()))</f>
        <v>Construcción en Seco Tabique espesor 9.5cm c/aislación acústica</v>
      </c>
      <c r="J214" s="35" t="str">
        <f>IF(ISBLANK(A214),"",VLOOKUP(C214,RELACIONES!$A$3:$B$70,2,FALSE))</f>
        <v>Cantonera Durlock Metal Galvanizado x 2,60 m</v>
      </c>
      <c r="K214" s="40">
        <f>IF(ISBLANK(A214),"",VLOOKUP(J214,RELACIONES!$B$3:$E$83,4,FALSE)*E214)</f>
        <v>2794.849615</v>
      </c>
    </row>
    <row r="215" ht="15.75" customHeight="1">
      <c r="A215" s="39" t="s">
        <v>2069</v>
      </c>
      <c r="B215" s="31" t="s">
        <v>2095</v>
      </c>
      <c r="C215" s="39" t="s">
        <v>2134</v>
      </c>
      <c r="D215" s="33" t="s">
        <v>2097</v>
      </c>
      <c r="E215" s="32">
        <v>10.0</v>
      </c>
      <c r="F215" s="33" t="s">
        <v>2129</v>
      </c>
      <c r="G215" s="33" t="s">
        <v>2130</v>
      </c>
      <c r="H215" s="41" t="s">
        <v>2112</v>
      </c>
      <c r="I215" s="34" t="str">
        <f>IF(ISBLANK(A215),"",VLOOKUP(A215,RELACIONES!$G$3:$H$65,2,FALSE()))</f>
        <v>Construcción en Seco Tabique espesor 9.5cm c/aislación acústica</v>
      </c>
      <c r="J215" s="35" t="str">
        <f>IF(ISBLANK(A215),"",VLOOKUP(C215,RELACIONES!$A$3:$B$70,2,FALSE))</f>
        <v>Tornillo Auto-Perforante T2 Punta Aguja 6 x 1</v>
      </c>
      <c r="K215" s="40">
        <f>IF(ISBLANK(A215),"",VLOOKUP(J215,RELACIONES!$B$3:$E$83,4,FALSE)*E215)</f>
        <v>286</v>
      </c>
    </row>
    <row r="216" ht="15.75" customHeight="1">
      <c r="A216" s="39" t="s">
        <v>2069</v>
      </c>
      <c r="B216" s="31" t="s">
        <v>2095</v>
      </c>
      <c r="C216" s="39" t="s">
        <v>2135</v>
      </c>
      <c r="D216" s="33" t="s">
        <v>2097</v>
      </c>
      <c r="E216" s="32">
        <v>15.0</v>
      </c>
      <c r="F216" s="33" t="s">
        <v>2129</v>
      </c>
      <c r="G216" s="33" t="s">
        <v>2130</v>
      </c>
      <c r="H216" s="41" t="s">
        <v>2112</v>
      </c>
      <c r="I216" s="34" t="str">
        <f>IF(ISBLANK(A216),"",VLOOKUP(A216,RELACIONES!$G$3:$H$65,2,FALSE()))</f>
        <v>Construcción en Seco Tabique espesor 9.5cm c/aislación acústica</v>
      </c>
      <c r="J216" s="35" t="str">
        <f>IF(ISBLANK(A216),"",VLOOKUP(C216,RELACIONES!$A$3:$B$70,2,FALSE))</f>
        <v>Tornillo Auto-Perforante T2 Punta Aguja 6 x 1</v>
      </c>
      <c r="K216" s="40">
        <f>IF(ISBLANK(A216),"",VLOOKUP(J216,RELACIONES!$B$3:$E$83,4,FALSE)*E216)</f>
        <v>429</v>
      </c>
    </row>
    <row r="217" ht="15.75" customHeight="1">
      <c r="A217" s="39" t="s">
        <v>2069</v>
      </c>
      <c r="B217" s="31" t="s">
        <v>2095</v>
      </c>
      <c r="C217" s="39" t="s">
        <v>2142</v>
      </c>
      <c r="D217" s="33" t="s">
        <v>2097</v>
      </c>
      <c r="E217" s="32">
        <v>30.0</v>
      </c>
      <c r="F217" s="33" t="s">
        <v>2129</v>
      </c>
      <c r="G217" s="33" t="s">
        <v>2130</v>
      </c>
      <c r="H217" s="41" t="s">
        <v>2112</v>
      </c>
      <c r="I217" s="34" t="str">
        <f>IF(ISBLANK(A217),"",VLOOKUP(A217,RELACIONES!$G$3:$H$65,2,FALSE()))</f>
        <v>Construcción en Seco Tabique espesor 9.5cm c/aislación acústica</v>
      </c>
      <c r="J217" s="35" t="str">
        <f>IF(ISBLANK(A217),"",VLOOKUP(C217,RELACIONES!$A$3:$B$70,2,FALSE))</f>
        <v>Tornillo Auto-Perforante T3 Punta Aguja 6 x 11/2</v>
      </c>
      <c r="K217" s="40">
        <f>IF(ISBLANK(A217),"",VLOOKUP(J217,RELACIONES!$B$3:$E$83,4,FALSE)*E217)</f>
        <v>1909.2</v>
      </c>
    </row>
    <row r="218" ht="15.75" customHeight="1">
      <c r="A218" s="39" t="s">
        <v>2069</v>
      </c>
      <c r="B218" s="31" t="s">
        <v>2095</v>
      </c>
      <c r="C218" s="39" t="s">
        <v>1444</v>
      </c>
      <c r="D218" s="33" t="s">
        <v>2097</v>
      </c>
      <c r="E218" s="32">
        <v>3.5</v>
      </c>
      <c r="F218" s="33" t="s">
        <v>2129</v>
      </c>
      <c r="G218" s="33" t="s">
        <v>2130</v>
      </c>
      <c r="H218" s="41" t="s">
        <v>2112</v>
      </c>
      <c r="I218" s="34" t="str">
        <f>IF(ISBLANK(A218),"",VLOOKUP(A218,RELACIONES!$G$3:$H$65,2,FALSE()))</f>
        <v>Construcción en Seco Tabique espesor 9.5cm c/aislación acústica</v>
      </c>
      <c r="J218" s="35" t="str">
        <f>IF(ISBLANK(A218),"",VLOOKUP(C218,RELACIONES!$A$3:$B$70,2,FALSE))</f>
        <v>FIJACIONES (U)</v>
      </c>
      <c r="K218" s="40">
        <f>IF(ISBLANK(A218),"",VLOOKUP(J218,RELACIONES!$B$3:$E$83,4,FALSE)*E218)</f>
        <v>812</v>
      </c>
    </row>
    <row r="219" ht="15.75" customHeight="1">
      <c r="A219" s="39" t="s">
        <v>2069</v>
      </c>
      <c r="B219" s="31" t="s">
        <v>2095</v>
      </c>
      <c r="C219" s="39" t="s">
        <v>2136</v>
      </c>
      <c r="D219" s="33" t="s">
        <v>2111</v>
      </c>
      <c r="E219" s="32">
        <v>3.3</v>
      </c>
      <c r="F219" s="33" t="s">
        <v>2129</v>
      </c>
      <c r="G219" s="33" t="s">
        <v>2130</v>
      </c>
      <c r="H219" s="41" t="s">
        <v>2112</v>
      </c>
      <c r="I219" s="34" t="str">
        <f>IF(ISBLANK(A219),"",VLOOKUP(A219,RELACIONES!$G$3:$H$65,2,FALSE()))</f>
        <v>Construcción en Seco Tabique espesor 9.5cm c/aislación acústica</v>
      </c>
      <c r="J219" s="35" t="str">
        <f>IF(ISBLANK(A219),"",VLOOKUP(C219,RELACIONES!$A$3:$B$70,2,FALSE))</f>
        <v>Cinta de papel x 76mm - Durlock (rollo de 150 ml)</v>
      </c>
      <c r="K219" s="40">
        <f>IF(ISBLANK(A219),"",VLOOKUP(J219,RELACIONES!$B$3:$E$83,4,FALSE)*E219)</f>
        <v>5.59746</v>
      </c>
    </row>
    <row r="220" ht="15.75" customHeight="1">
      <c r="A220" s="39" t="s">
        <v>2069</v>
      </c>
      <c r="B220" s="31" t="s">
        <v>2095</v>
      </c>
      <c r="C220" s="39" t="s">
        <v>2137</v>
      </c>
      <c r="D220" s="33" t="s">
        <v>2106</v>
      </c>
      <c r="E220" s="32">
        <v>1.8</v>
      </c>
      <c r="F220" s="33" t="s">
        <v>2129</v>
      </c>
      <c r="G220" s="33" t="s">
        <v>2130</v>
      </c>
      <c r="H220" s="33" t="s">
        <v>2104</v>
      </c>
      <c r="I220" s="34" t="str">
        <f>IF(ISBLANK(A220),"",VLOOKUP(A220,RELACIONES!$G$3:$H$65,2,FALSE()))</f>
        <v>Construcción en Seco Tabique espesor 9.5cm c/aislación acústica</v>
      </c>
      <c r="J220" s="35" t="str">
        <f>IF(ISBLANK(A220),"",VLOOKUP(C220,RELACIONES!$A$3:$B$70,2,FALSE))</f>
        <v>Masilla Durlock (Lista Para Usar)</v>
      </c>
      <c r="K220" s="40">
        <f>IF(ISBLANK(A220),"",VLOOKUP(J220,RELACIONES!$B$3:$E$83,4,FALSE)*E220)</f>
        <v>5979.222</v>
      </c>
    </row>
    <row r="221" ht="15.75" customHeight="1">
      <c r="A221" s="39" t="s">
        <v>2069</v>
      </c>
      <c r="B221" s="31" t="s">
        <v>2095</v>
      </c>
      <c r="C221" s="39" t="s">
        <v>2139</v>
      </c>
      <c r="D221" s="33" t="s">
        <v>2114</v>
      </c>
      <c r="E221" s="32">
        <v>1.05</v>
      </c>
      <c r="F221" s="33" t="s">
        <v>2129</v>
      </c>
      <c r="G221" s="33" t="s">
        <v>2130</v>
      </c>
      <c r="H221" s="33" t="s">
        <v>2104</v>
      </c>
      <c r="I221" s="34" t="str">
        <f>IF(ISBLANK(A221),"",VLOOKUP(A221,RELACIONES!$G$3:$H$65,2,FALSE()))</f>
        <v>Construcción en Seco Tabique espesor 9.5cm c/aislación acústica</v>
      </c>
      <c r="J221" s="35" t="str">
        <f>IF(ISBLANK(A221),"",VLOOKUP(C221,RELACIONES!$A$3:$B$70,2,FALSE))</f>
        <v>Aislante Lana de Vidrio Isover Rolac Plata Muro, esp 70 mm.</v>
      </c>
      <c r="K221" s="40">
        <f>IF(ISBLANK(A221),"",VLOOKUP(J221,RELACIONES!$B$3:$E$83,4,FALSE)*E221)</f>
        <v>26491.227</v>
      </c>
    </row>
    <row r="222" ht="15.75" customHeight="1">
      <c r="A222" s="39" t="s">
        <v>2069</v>
      </c>
      <c r="B222" s="31" t="s">
        <v>2095</v>
      </c>
      <c r="C222" s="39" t="s">
        <v>2138</v>
      </c>
      <c r="D222" s="33" t="s">
        <v>2097</v>
      </c>
      <c r="E222" s="32">
        <v>0.067</v>
      </c>
      <c r="F222" s="33" t="s">
        <v>2129</v>
      </c>
      <c r="G222" s="33" t="s">
        <v>2130</v>
      </c>
      <c r="H222" s="41" t="s">
        <v>2112</v>
      </c>
      <c r="I222" s="34" t="str">
        <f>IF(ISBLANK(A222),"",VLOOKUP(A222,RELACIONES!$G$3:$H$65,2,FALSE()))</f>
        <v>Construcción en Seco Tabique espesor 9.5cm c/aislación acústica</v>
      </c>
      <c r="J222" s="35" t="str">
        <f>IF(ISBLANK(A222),"",VLOOKUP(C222,RELACIONES!$A$3:$B$70,2,FALSE))</f>
        <v>Lija</v>
      </c>
      <c r="K222" s="40">
        <f>IF(ISBLANK(A222),"",VLOOKUP(J222,RELACIONES!$B$3:$E$83,4,FALSE)*E222)</f>
        <v>72.27625</v>
      </c>
    </row>
    <row r="223" ht="15.75" customHeight="1">
      <c r="A223" s="39" t="s">
        <v>2069</v>
      </c>
      <c r="B223" s="31" t="s">
        <v>2095</v>
      </c>
      <c r="C223" s="39" t="s">
        <v>2126</v>
      </c>
      <c r="D223" s="33" t="s">
        <v>2111</v>
      </c>
      <c r="E223" s="32">
        <v>0.3</v>
      </c>
      <c r="F223" s="33" t="s">
        <v>2129</v>
      </c>
      <c r="G223" s="33" t="s">
        <v>2130</v>
      </c>
      <c r="H223" s="41" t="s">
        <v>2112</v>
      </c>
      <c r="I223" s="34" t="str">
        <f>IF(ISBLANK(A223),"",VLOOKUP(A223,RELACIONES!$G$3:$H$65,2,FALSE()))</f>
        <v>Construcción en Seco Tabique espesor 9.5cm c/aislación acústica</v>
      </c>
      <c r="J223" s="35" t="str">
        <f>IF(ISBLANK(A223),"",VLOOKUP(C223,RELACIONES!$A$3:$B$70,2,FALSE))</f>
        <v>Cinta Papel encubrir 18 mm. x 50 mts</v>
      </c>
      <c r="K223" s="40">
        <f>IF(ISBLANK(A223),"",VLOOKUP(J223,RELACIONES!$B$3:$E$83,4,FALSE)*E223)</f>
        <v>34.52004</v>
      </c>
    </row>
    <row r="224" ht="15.75" customHeight="1">
      <c r="A224" s="36"/>
      <c r="B224" s="36"/>
      <c r="C224" s="36"/>
      <c r="D224" s="36"/>
      <c r="E224" s="37"/>
      <c r="F224" s="36"/>
      <c r="G224" s="36"/>
      <c r="H224" s="36"/>
      <c r="I224" s="34" t="str">
        <f>IF(ISBLANK(A224),"",VLOOKUP(A224,RELACIONES!$G$3:$H$65,2,FALSE()))</f>
        <v/>
      </c>
      <c r="J224" s="35" t="str">
        <f>IF(ISBLANK(A224),"",VLOOKUP(C224,RELACIONES!$A$3:$B$70,2,FALSE))</f>
        <v/>
      </c>
      <c r="K224" s="35" t="str">
        <f>IF(ISBLANK(A224),"",VLOOKUP(J224,RELACIONES!$B$3:$E$83,4,FALSE)*E224)</f>
        <v/>
      </c>
    </row>
    <row r="225" ht="15.75" customHeight="1">
      <c r="A225" s="42" t="s">
        <v>2070</v>
      </c>
      <c r="B225" s="43" t="s">
        <v>2095</v>
      </c>
      <c r="C225" s="42" t="s">
        <v>2128</v>
      </c>
      <c r="D225" s="44" t="s">
        <v>2114</v>
      </c>
      <c r="E225" s="45">
        <v>1.05</v>
      </c>
      <c r="F225" s="44" t="s">
        <v>2129</v>
      </c>
      <c r="G225" s="44" t="s">
        <v>2143</v>
      </c>
      <c r="H225" s="44" t="s">
        <v>2104</v>
      </c>
      <c r="I225" s="34" t="str">
        <f>IF(ISBLANK(A225),"",VLOOKUP(A225,RELACIONES!$G$3:$H$65,2,FALSE()))</f>
        <v>Construcción en Seco Cielorraso con placas de yeso</v>
      </c>
      <c r="J225" s="35" t="str">
        <f>IF(ISBLANK(A225),"",VLOOKUP(C225,RELACIONES!$A$3:$B$70,2,FALSE))</f>
        <v>Placa yeso Durlock 9.5mm Std. 1.20 x 2.40 mts.</v>
      </c>
      <c r="K225" s="40">
        <f>IF(ISBLANK(A225),"",VLOOKUP(J225,RELACIONES!$B$3:$E$83,4,FALSE)*E225)</f>
        <v>6307.758333</v>
      </c>
    </row>
    <row r="226" ht="15.75" customHeight="1">
      <c r="A226" s="42" t="s">
        <v>2070</v>
      </c>
      <c r="B226" s="43" t="s">
        <v>2095</v>
      </c>
      <c r="C226" s="42" t="s">
        <v>2144</v>
      </c>
      <c r="D226" s="44" t="s">
        <v>2111</v>
      </c>
      <c r="E226" s="45">
        <v>1.15</v>
      </c>
      <c r="F226" s="44" t="s">
        <v>2129</v>
      </c>
      <c r="G226" s="44" t="s">
        <v>2143</v>
      </c>
      <c r="H226" s="44" t="s">
        <v>2104</v>
      </c>
      <c r="I226" s="34" t="str">
        <f>IF(ISBLANK(A226),"",VLOOKUP(A226,RELACIONES!$G$3:$H$65,2,FALSE()))</f>
        <v>Construcción en Seco Cielorraso con placas de yeso</v>
      </c>
      <c r="J226" s="35" t="str">
        <f>IF(ISBLANK(A226),"",VLOOKUP(C226,RELACIONES!$A$3:$B$70,2,FALSE))</f>
        <v>Montante de 34mm x 2.60mts</v>
      </c>
      <c r="K226" s="40">
        <f>IF(ISBLANK(A226),"",VLOOKUP(J226,RELACIONES!$B$3:$E$83,4,FALSE)*E226)</f>
        <v>2308.439231</v>
      </c>
    </row>
    <row r="227" ht="15.75" customHeight="1">
      <c r="A227" s="42" t="s">
        <v>2070</v>
      </c>
      <c r="B227" s="43" t="s">
        <v>2095</v>
      </c>
      <c r="C227" s="42" t="s">
        <v>2145</v>
      </c>
      <c r="D227" s="44" t="s">
        <v>2111</v>
      </c>
      <c r="E227" s="45">
        <v>0.38</v>
      </c>
      <c r="F227" s="44" t="s">
        <v>2129</v>
      </c>
      <c r="G227" s="44" t="s">
        <v>2143</v>
      </c>
      <c r="H227" s="44" t="s">
        <v>2104</v>
      </c>
      <c r="I227" s="34" t="str">
        <f>IF(ISBLANK(A227),"",VLOOKUP(A227,RELACIONES!$G$3:$H$65,2,FALSE()))</f>
        <v>Construcción en Seco Cielorraso con placas de yeso</v>
      </c>
      <c r="J227" s="35" t="str">
        <f>IF(ISBLANK(A227),"",VLOOKUP(C227,RELACIONES!$A$3:$B$70,2,FALSE))</f>
        <v>Solera de 35mm x 2.60 mts.</v>
      </c>
      <c r="K227" s="40">
        <f>IF(ISBLANK(A227),"",VLOOKUP(J227,RELACIONES!$B$3:$E$83,4,FALSE)*E227)</f>
        <v>711.4944615</v>
      </c>
    </row>
    <row r="228" ht="15.75" customHeight="1">
      <c r="A228" s="42" t="s">
        <v>2070</v>
      </c>
      <c r="B228" s="43" t="s">
        <v>2095</v>
      </c>
      <c r="C228" s="42" t="s">
        <v>2133</v>
      </c>
      <c r="D228" s="44" t="s">
        <v>2111</v>
      </c>
      <c r="E228" s="45">
        <v>1.05</v>
      </c>
      <c r="F228" s="44" t="s">
        <v>2129</v>
      </c>
      <c r="G228" s="44" t="s">
        <v>2143</v>
      </c>
      <c r="H228" s="44" t="s">
        <v>2104</v>
      </c>
      <c r="I228" s="34" t="str">
        <f>IF(ISBLANK(A228),"",VLOOKUP(A228,RELACIONES!$G$3:$H$65,2,FALSE()))</f>
        <v>Construcción en Seco Cielorraso con placas de yeso</v>
      </c>
      <c r="J228" s="35" t="str">
        <f>IF(ISBLANK(A228),"",VLOOKUP(C228,RELACIONES!$A$3:$B$70,2,FALSE))</f>
        <v>Cantonera Durlock Metal Galvanizado x 2,60 m</v>
      </c>
      <c r="K228" s="40">
        <f>IF(ISBLANK(A228),"",VLOOKUP(J228,RELACIONES!$B$3:$E$83,4,FALSE)*E228)</f>
        <v>1397.424808</v>
      </c>
    </row>
    <row r="229" ht="15.75" customHeight="1">
      <c r="A229" s="42" t="s">
        <v>2070</v>
      </c>
      <c r="B229" s="43" t="s">
        <v>2095</v>
      </c>
      <c r="C229" s="42" t="s">
        <v>2146</v>
      </c>
      <c r="D229" s="44" t="s">
        <v>2111</v>
      </c>
      <c r="E229" s="45">
        <v>1.05</v>
      </c>
      <c r="F229" s="44" t="s">
        <v>2129</v>
      </c>
      <c r="G229" s="44" t="s">
        <v>2143</v>
      </c>
      <c r="H229" s="44" t="s">
        <v>2104</v>
      </c>
      <c r="I229" s="34" t="str">
        <f>IF(ISBLANK(A229),"",VLOOKUP(A229,RELACIONES!$G$3:$H$65,2,FALSE()))</f>
        <v>Construcción en Seco Cielorraso con placas de yeso</v>
      </c>
      <c r="J229" s="35" t="str">
        <f>IF(ISBLANK(A229),"",VLOOKUP(C229,RELACIONES!$A$3:$B$70,2,FALSE))</f>
        <v>Buña Perimetral Z x 2,60 mts.</v>
      </c>
      <c r="K229" s="40">
        <f>IF(ISBLANK(A229),"",VLOOKUP(J229,RELACIONES!$B$3:$E$83,4,FALSE)*E229)</f>
        <v>1848.432115</v>
      </c>
    </row>
    <row r="230" ht="15.75" customHeight="1">
      <c r="A230" s="42" t="s">
        <v>2070</v>
      </c>
      <c r="B230" s="43" t="s">
        <v>2095</v>
      </c>
      <c r="C230" s="42" t="s">
        <v>1444</v>
      </c>
      <c r="D230" s="44" t="s">
        <v>2097</v>
      </c>
      <c r="E230" s="45">
        <v>6.0</v>
      </c>
      <c r="F230" s="44" t="s">
        <v>2129</v>
      </c>
      <c r="G230" s="44" t="s">
        <v>2143</v>
      </c>
      <c r="H230" s="46" t="s">
        <v>2112</v>
      </c>
      <c r="I230" s="34" t="str">
        <f>IF(ISBLANK(A230),"",VLOOKUP(A230,RELACIONES!$G$3:$H$65,2,FALSE()))</f>
        <v>Construcción en Seco Cielorraso con placas de yeso</v>
      </c>
      <c r="J230" s="35" t="str">
        <f>IF(ISBLANK(A230),"",VLOOKUP(C230,RELACIONES!$A$3:$B$70,2,FALSE))</f>
        <v>FIJACIONES (U)</v>
      </c>
      <c r="K230" s="40">
        <f>IF(ISBLANK(A230),"",VLOOKUP(J230,RELACIONES!$B$3:$E$83,4,FALSE)*E230)</f>
        <v>1392</v>
      </c>
    </row>
    <row r="231" ht="15.75" customHeight="1">
      <c r="A231" s="42" t="s">
        <v>2070</v>
      </c>
      <c r="B231" s="43" t="s">
        <v>2095</v>
      </c>
      <c r="C231" s="42" t="s">
        <v>2134</v>
      </c>
      <c r="D231" s="44" t="s">
        <v>2097</v>
      </c>
      <c r="E231" s="45">
        <v>16.0</v>
      </c>
      <c r="F231" s="44" t="s">
        <v>2129</v>
      </c>
      <c r="G231" s="44" t="s">
        <v>2143</v>
      </c>
      <c r="H231" s="46" t="s">
        <v>2112</v>
      </c>
      <c r="I231" s="34" t="str">
        <f>IF(ISBLANK(A231),"",VLOOKUP(A231,RELACIONES!$G$3:$H$65,2,FALSE()))</f>
        <v>Construcción en Seco Cielorraso con placas de yeso</v>
      </c>
      <c r="J231" s="35" t="str">
        <f>IF(ISBLANK(A231),"",VLOOKUP(C231,RELACIONES!$A$3:$B$70,2,FALSE))</f>
        <v>Tornillo Auto-Perforante T2 Punta Aguja 6 x 1</v>
      </c>
      <c r="K231" s="40">
        <f>IF(ISBLANK(A231),"",VLOOKUP(J231,RELACIONES!$B$3:$E$83,4,FALSE)*E231)</f>
        <v>457.6</v>
      </c>
    </row>
    <row r="232" ht="15.75" customHeight="1">
      <c r="A232" s="42" t="s">
        <v>2070</v>
      </c>
      <c r="B232" s="43" t="s">
        <v>2095</v>
      </c>
      <c r="C232" s="42" t="s">
        <v>2135</v>
      </c>
      <c r="D232" s="44" t="s">
        <v>2097</v>
      </c>
      <c r="E232" s="45">
        <v>18.0</v>
      </c>
      <c r="F232" s="44" t="s">
        <v>2129</v>
      </c>
      <c r="G232" s="44" t="s">
        <v>2143</v>
      </c>
      <c r="H232" s="46" t="s">
        <v>2112</v>
      </c>
      <c r="I232" s="34" t="str">
        <f>IF(ISBLANK(A232),"",VLOOKUP(A232,RELACIONES!$G$3:$H$65,2,FALSE()))</f>
        <v>Construcción en Seco Cielorraso con placas de yeso</v>
      </c>
      <c r="J232" s="35" t="str">
        <f>IF(ISBLANK(A232),"",VLOOKUP(C232,RELACIONES!$A$3:$B$70,2,FALSE))</f>
        <v>Tornillo Auto-Perforante T2 Punta Aguja 6 x 1</v>
      </c>
      <c r="K232" s="40">
        <f>IF(ISBLANK(A232),"",VLOOKUP(J232,RELACIONES!$B$3:$E$83,4,FALSE)*E232)</f>
        <v>514.8</v>
      </c>
    </row>
    <row r="233" ht="15.75" customHeight="1">
      <c r="A233" s="42" t="s">
        <v>2070</v>
      </c>
      <c r="B233" s="43" t="s">
        <v>2095</v>
      </c>
      <c r="C233" s="42" t="s">
        <v>2137</v>
      </c>
      <c r="D233" s="44" t="s">
        <v>2106</v>
      </c>
      <c r="E233" s="45">
        <v>0.9</v>
      </c>
      <c r="F233" s="44" t="s">
        <v>2129</v>
      </c>
      <c r="G233" s="44" t="s">
        <v>2143</v>
      </c>
      <c r="H233" s="44" t="s">
        <v>2104</v>
      </c>
      <c r="I233" s="34" t="str">
        <f>IF(ISBLANK(A233),"",VLOOKUP(A233,RELACIONES!$G$3:$H$65,2,FALSE()))</f>
        <v>Construcción en Seco Cielorraso con placas de yeso</v>
      </c>
      <c r="J233" s="35" t="str">
        <f>IF(ISBLANK(A233),"",VLOOKUP(C233,RELACIONES!$A$3:$B$70,2,FALSE))</f>
        <v>Masilla Durlock (Lista Para Usar)</v>
      </c>
      <c r="K233" s="40">
        <f>IF(ISBLANK(A233),"",VLOOKUP(J233,RELACIONES!$B$3:$E$83,4,FALSE)*E233)</f>
        <v>2989.611</v>
      </c>
    </row>
    <row r="234" ht="15.75" customHeight="1">
      <c r="A234" s="42" t="s">
        <v>2070</v>
      </c>
      <c r="B234" s="43" t="s">
        <v>2095</v>
      </c>
      <c r="C234" s="42" t="s">
        <v>2136</v>
      </c>
      <c r="D234" s="44" t="s">
        <v>2111</v>
      </c>
      <c r="E234" s="45">
        <v>1.65</v>
      </c>
      <c r="F234" s="44" t="s">
        <v>2129</v>
      </c>
      <c r="G234" s="44" t="s">
        <v>2143</v>
      </c>
      <c r="H234" s="46" t="s">
        <v>2112</v>
      </c>
      <c r="I234" s="34" t="str">
        <f>IF(ISBLANK(A234),"",VLOOKUP(A234,RELACIONES!$G$3:$H$65,2,FALSE()))</f>
        <v>Construcción en Seco Cielorraso con placas de yeso</v>
      </c>
      <c r="J234" s="35" t="str">
        <f>IF(ISBLANK(A234),"",VLOOKUP(C234,RELACIONES!$A$3:$B$70,2,FALSE))</f>
        <v>Cinta de papel x 76mm - Durlock (rollo de 150 ml)</v>
      </c>
      <c r="K234" s="40">
        <f>IF(ISBLANK(A234),"",VLOOKUP(J234,RELACIONES!$B$3:$E$83,4,FALSE)*E234)</f>
        <v>2.79873</v>
      </c>
    </row>
    <row r="235" ht="15.75" customHeight="1">
      <c r="A235" s="42" t="s">
        <v>2070</v>
      </c>
      <c r="B235" s="43" t="s">
        <v>2095</v>
      </c>
      <c r="C235" s="42" t="s">
        <v>2138</v>
      </c>
      <c r="D235" s="44" t="s">
        <v>2097</v>
      </c>
      <c r="E235" s="45">
        <v>0.067</v>
      </c>
      <c r="F235" s="44" t="s">
        <v>2129</v>
      </c>
      <c r="G235" s="44" t="s">
        <v>2143</v>
      </c>
      <c r="H235" s="46" t="s">
        <v>2112</v>
      </c>
      <c r="I235" s="34" t="str">
        <f>IF(ISBLANK(A235),"",VLOOKUP(A235,RELACIONES!$G$3:$H$65,2,FALSE()))</f>
        <v>Construcción en Seco Cielorraso con placas de yeso</v>
      </c>
      <c r="J235" s="35" t="str">
        <f>IF(ISBLANK(A235),"",VLOOKUP(C235,RELACIONES!$A$3:$B$70,2,FALSE))</f>
        <v>Lija</v>
      </c>
      <c r="K235" s="40">
        <f>IF(ISBLANK(A235),"",VLOOKUP(J235,RELACIONES!$B$3:$E$83,4,FALSE)*E235)</f>
        <v>72.27625</v>
      </c>
    </row>
    <row r="236" ht="15.75" customHeight="1">
      <c r="A236" s="42" t="s">
        <v>2070</v>
      </c>
      <c r="B236" s="43" t="s">
        <v>2095</v>
      </c>
      <c r="C236" s="42" t="s">
        <v>2126</v>
      </c>
      <c r="D236" s="44" t="s">
        <v>2111</v>
      </c>
      <c r="E236" s="45">
        <v>0.3</v>
      </c>
      <c r="F236" s="44" t="s">
        <v>2129</v>
      </c>
      <c r="G236" s="44" t="s">
        <v>2143</v>
      </c>
      <c r="H236" s="46" t="s">
        <v>2112</v>
      </c>
      <c r="I236" s="34" t="str">
        <f>IF(ISBLANK(A236),"",VLOOKUP(A236,RELACIONES!$G$3:$H$65,2,FALSE()))</f>
        <v>Construcción en Seco Cielorraso con placas de yeso</v>
      </c>
      <c r="J236" s="35" t="str">
        <f>IF(ISBLANK(A236),"",VLOOKUP(C236,RELACIONES!$A$3:$B$70,2,FALSE))</f>
        <v>Cinta Papel encubrir 18 mm. x 50 mts</v>
      </c>
      <c r="K236" s="40">
        <f>IF(ISBLANK(A236),"",VLOOKUP(J236,RELACIONES!$B$3:$E$83,4,FALSE)*E236)</f>
        <v>34.52004</v>
      </c>
    </row>
    <row r="237" ht="15.75" customHeight="1">
      <c r="A237" s="36"/>
      <c r="B237" s="36"/>
      <c r="C237" s="36"/>
      <c r="D237" s="36"/>
      <c r="E237" s="37"/>
      <c r="F237" s="36"/>
      <c r="G237" s="36"/>
      <c r="H237" s="36"/>
      <c r="I237" s="34" t="str">
        <f>IF(ISBLANK(A237),"",VLOOKUP(A237,RELACIONES!$G$3:$H$65,2,FALSE()))</f>
        <v/>
      </c>
      <c r="J237" s="35" t="str">
        <f>IF(ISBLANK(A237),"",VLOOKUP(C237,RELACIONES!$A$3:$B$70,2,FALSE))</f>
        <v/>
      </c>
      <c r="K237" s="35" t="str">
        <f>IF(ISBLANK(A237),"",VLOOKUP(J237,RELACIONES!$B$3:$E$83,4,FALSE)*E237)</f>
        <v/>
      </c>
    </row>
    <row r="238" ht="15.75" customHeight="1">
      <c r="A238" s="39" t="s">
        <v>2071</v>
      </c>
      <c r="B238" s="31" t="s">
        <v>2095</v>
      </c>
      <c r="C238" s="39" t="s">
        <v>2128</v>
      </c>
      <c r="D238" s="33" t="s">
        <v>2114</v>
      </c>
      <c r="E238" s="32">
        <v>1.05</v>
      </c>
      <c r="F238" s="33" t="s">
        <v>2129</v>
      </c>
      <c r="G238" s="33" t="s">
        <v>2143</v>
      </c>
      <c r="H238" s="33" t="s">
        <v>2104</v>
      </c>
      <c r="I238" s="34" t="str">
        <f>IF(ISBLANK(A238),"",VLOOKUP(A238,RELACIONES!$G$3:$H$65,2,FALSE()))</f>
        <v>Construcción en Seco Cielorraso con placas de yeso</v>
      </c>
      <c r="J238" s="35" t="str">
        <f>IF(ISBLANK(A238),"",VLOOKUP(C238,RELACIONES!$A$3:$B$70,2,FALSE))</f>
        <v>Placa yeso Durlock 9.5mm Std. 1.20 x 2.40 mts.</v>
      </c>
      <c r="K238" s="40">
        <f>IF(ISBLANK(A238),"",VLOOKUP(J238,RELACIONES!$B$3:$E$83,4,FALSE)*E238)</f>
        <v>6307.758333</v>
      </c>
    </row>
    <row r="239" ht="15.75" customHeight="1">
      <c r="A239" s="39" t="s">
        <v>2071</v>
      </c>
      <c r="B239" s="31" t="s">
        <v>2095</v>
      </c>
      <c r="C239" s="39" t="s">
        <v>2144</v>
      </c>
      <c r="D239" s="33" t="s">
        <v>2111</v>
      </c>
      <c r="E239" s="32">
        <v>1.15</v>
      </c>
      <c r="F239" s="33" t="s">
        <v>2129</v>
      </c>
      <c r="G239" s="33" t="s">
        <v>2143</v>
      </c>
      <c r="H239" s="33" t="s">
        <v>2104</v>
      </c>
      <c r="I239" s="34" t="str">
        <f>IF(ISBLANK(A239),"",VLOOKUP(A239,RELACIONES!$G$3:$H$65,2,FALSE()))</f>
        <v>Construcción en Seco Cielorraso con placas de yeso</v>
      </c>
      <c r="J239" s="35" t="str">
        <f>IF(ISBLANK(A239),"",VLOOKUP(C239,RELACIONES!$A$3:$B$70,2,FALSE))</f>
        <v>Montante de 34mm x 2.60mts</v>
      </c>
      <c r="K239" s="40">
        <f>IF(ISBLANK(A239),"",VLOOKUP(J239,RELACIONES!$B$3:$E$83,4,FALSE)*E239)</f>
        <v>2308.439231</v>
      </c>
    </row>
    <row r="240" ht="15.75" customHeight="1">
      <c r="A240" s="39" t="s">
        <v>2071</v>
      </c>
      <c r="B240" s="31" t="s">
        <v>2095</v>
      </c>
      <c r="C240" s="39" t="s">
        <v>2145</v>
      </c>
      <c r="D240" s="33" t="s">
        <v>2111</v>
      </c>
      <c r="E240" s="32">
        <v>0.38</v>
      </c>
      <c r="F240" s="33" t="s">
        <v>2129</v>
      </c>
      <c r="G240" s="33" t="s">
        <v>2143</v>
      </c>
      <c r="H240" s="33" t="s">
        <v>2104</v>
      </c>
      <c r="I240" s="34" t="str">
        <f>IF(ISBLANK(A240),"",VLOOKUP(A240,RELACIONES!$G$3:$H$65,2,FALSE()))</f>
        <v>Construcción en Seco Cielorraso con placas de yeso</v>
      </c>
      <c r="J240" s="35" t="str">
        <f>IF(ISBLANK(A240),"",VLOOKUP(C240,RELACIONES!$A$3:$B$70,2,FALSE))</f>
        <v>Solera de 35mm x 2.60 mts.</v>
      </c>
      <c r="K240" s="40">
        <f>IF(ISBLANK(A240),"",VLOOKUP(J240,RELACIONES!$B$3:$E$83,4,FALSE)*E240)</f>
        <v>711.4944615</v>
      </c>
    </row>
    <row r="241" ht="15.75" customHeight="1">
      <c r="A241" s="39" t="s">
        <v>2071</v>
      </c>
      <c r="B241" s="31" t="s">
        <v>2095</v>
      </c>
      <c r="C241" s="39" t="s">
        <v>2133</v>
      </c>
      <c r="D241" s="33" t="s">
        <v>2111</v>
      </c>
      <c r="E241" s="32">
        <v>1.05</v>
      </c>
      <c r="F241" s="33" t="s">
        <v>2129</v>
      </c>
      <c r="G241" s="33" t="s">
        <v>2143</v>
      </c>
      <c r="H241" s="33" t="s">
        <v>2104</v>
      </c>
      <c r="I241" s="34" t="str">
        <f>IF(ISBLANK(A241),"",VLOOKUP(A241,RELACIONES!$G$3:$H$65,2,FALSE()))</f>
        <v>Construcción en Seco Cielorraso con placas de yeso</v>
      </c>
      <c r="J241" s="35" t="str">
        <f>IF(ISBLANK(A241),"",VLOOKUP(C241,RELACIONES!$A$3:$B$70,2,FALSE))</f>
        <v>Cantonera Durlock Metal Galvanizado x 2,60 m</v>
      </c>
      <c r="K241" s="40">
        <f>IF(ISBLANK(A241),"",VLOOKUP(J241,RELACIONES!$B$3:$E$83,4,FALSE)*E241)</f>
        <v>1397.424808</v>
      </c>
    </row>
    <row r="242" ht="15.75" customHeight="1">
      <c r="A242" s="39" t="s">
        <v>2071</v>
      </c>
      <c r="B242" s="31" t="s">
        <v>2095</v>
      </c>
      <c r="C242" s="39" t="s">
        <v>2146</v>
      </c>
      <c r="D242" s="33" t="s">
        <v>2111</v>
      </c>
      <c r="E242" s="32">
        <v>1.05</v>
      </c>
      <c r="F242" s="33" t="s">
        <v>2129</v>
      </c>
      <c r="G242" s="33" t="s">
        <v>2143</v>
      </c>
      <c r="H242" s="33" t="s">
        <v>2104</v>
      </c>
      <c r="I242" s="34" t="str">
        <f>IF(ISBLANK(A242),"",VLOOKUP(A242,RELACIONES!$G$3:$H$65,2,FALSE()))</f>
        <v>Construcción en Seco Cielorraso con placas de yeso</v>
      </c>
      <c r="J242" s="35" t="str">
        <f>IF(ISBLANK(A242),"",VLOOKUP(C242,RELACIONES!$A$3:$B$70,2,FALSE))</f>
        <v>Buña Perimetral Z x 2,60 mts.</v>
      </c>
      <c r="K242" s="40">
        <f>IF(ISBLANK(A242),"",VLOOKUP(J242,RELACIONES!$B$3:$E$83,4,FALSE)*E242)</f>
        <v>1848.432115</v>
      </c>
    </row>
    <row r="243" ht="15.75" customHeight="1">
      <c r="A243" s="39" t="s">
        <v>2071</v>
      </c>
      <c r="B243" s="31" t="s">
        <v>2095</v>
      </c>
      <c r="C243" s="39" t="s">
        <v>1444</v>
      </c>
      <c r="D243" s="33" t="s">
        <v>2097</v>
      </c>
      <c r="E243" s="32">
        <v>6.0</v>
      </c>
      <c r="F243" s="33" t="s">
        <v>2129</v>
      </c>
      <c r="G243" s="33" t="s">
        <v>2143</v>
      </c>
      <c r="H243" s="41" t="s">
        <v>2112</v>
      </c>
      <c r="I243" s="34" t="str">
        <f>IF(ISBLANK(A243),"",VLOOKUP(A243,RELACIONES!$G$3:$H$65,2,FALSE()))</f>
        <v>Construcción en Seco Cielorraso con placas de yeso</v>
      </c>
      <c r="J243" s="35" t="str">
        <f>IF(ISBLANK(A243),"",VLOOKUP(C243,RELACIONES!$A$3:$B$70,2,FALSE))</f>
        <v>FIJACIONES (U)</v>
      </c>
      <c r="K243" s="40">
        <f>IF(ISBLANK(A243),"",VLOOKUP(J243,RELACIONES!$B$3:$E$83,4,FALSE)*E243)</f>
        <v>1392</v>
      </c>
    </row>
    <row r="244" ht="15.75" customHeight="1">
      <c r="A244" s="39" t="s">
        <v>2071</v>
      </c>
      <c r="B244" s="31" t="s">
        <v>2095</v>
      </c>
      <c r="C244" s="39" t="s">
        <v>2134</v>
      </c>
      <c r="D244" s="33" t="s">
        <v>2097</v>
      </c>
      <c r="E244" s="32">
        <v>16.0</v>
      </c>
      <c r="F244" s="33" t="s">
        <v>2129</v>
      </c>
      <c r="G244" s="33" t="s">
        <v>2143</v>
      </c>
      <c r="H244" s="41" t="s">
        <v>2112</v>
      </c>
      <c r="I244" s="34" t="str">
        <f>IF(ISBLANK(A244),"",VLOOKUP(A244,RELACIONES!$G$3:$H$65,2,FALSE()))</f>
        <v>Construcción en Seco Cielorraso con placas de yeso</v>
      </c>
      <c r="J244" s="35" t="str">
        <f>IF(ISBLANK(A244),"",VLOOKUP(C244,RELACIONES!$A$3:$B$70,2,FALSE))</f>
        <v>Tornillo Auto-Perforante T2 Punta Aguja 6 x 1</v>
      </c>
      <c r="K244" s="40">
        <f>IF(ISBLANK(A244),"",VLOOKUP(J244,RELACIONES!$B$3:$E$83,4,FALSE)*E244)</f>
        <v>457.6</v>
      </c>
    </row>
    <row r="245" ht="15.75" customHeight="1">
      <c r="A245" s="39" t="s">
        <v>2071</v>
      </c>
      <c r="B245" s="31" t="s">
        <v>2095</v>
      </c>
      <c r="C245" s="39" t="s">
        <v>2135</v>
      </c>
      <c r="D245" s="33" t="s">
        <v>2097</v>
      </c>
      <c r="E245" s="32">
        <v>18.0</v>
      </c>
      <c r="F245" s="33" t="s">
        <v>2129</v>
      </c>
      <c r="G245" s="33" t="s">
        <v>2143</v>
      </c>
      <c r="H245" s="41" t="s">
        <v>2112</v>
      </c>
      <c r="I245" s="34" t="str">
        <f>IF(ISBLANK(A245),"",VLOOKUP(A245,RELACIONES!$G$3:$H$65,2,FALSE()))</f>
        <v>Construcción en Seco Cielorraso con placas de yeso</v>
      </c>
      <c r="J245" s="35" t="str">
        <f>IF(ISBLANK(A245),"",VLOOKUP(C245,RELACIONES!$A$3:$B$70,2,FALSE))</f>
        <v>Tornillo Auto-Perforante T2 Punta Aguja 6 x 1</v>
      </c>
      <c r="K245" s="40">
        <f>IF(ISBLANK(A245),"",VLOOKUP(J245,RELACIONES!$B$3:$E$83,4,FALSE)*E245)</f>
        <v>514.8</v>
      </c>
    </row>
    <row r="246" ht="15.75" customHeight="1">
      <c r="A246" s="39" t="s">
        <v>2071</v>
      </c>
      <c r="B246" s="31" t="s">
        <v>2095</v>
      </c>
      <c r="C246" s="39" t="s">
        <v>2137</v>
      </c>
      <c r="D246" s="33" t="s">
        <v>2106</v>
      </c>
      <c r="E246" s="32">
        <v>0.9</v>
      </c>
      <c r="F246" s="33" t="s">
        <v>2129</v>
      </c>
      <c r="G246" s="33" t="s">
        <v>2143</v>
      </c>
      <c r="H246" s="33" t="s">
        <v>2104</v>
      </c>
      <c r="I246" s="34" t="str">
        <f>IF(ISBLANK(A246),"",VLOOKUP(A246,RELACIONES!$G$3:$H$65,2,FALSE()))</f>
        <v>Construcción en Seco Cielorraso con placas de yeso</v>
      </c>
      <c r="J246" s="35" t="str">
        <f>IF(ISBLANK(A246),"",VLOOKUP(C246,RELACIONES!$A$3:$B$70,2,FALSE))</f>
        <v>Masilla Durlock (Lista Para Usar)</v>
      </c>
      <c r="K246" s="40">
        <f>IF(ISBLANK(A246),"",VLOOKUP(J246,RELACIONES!$B$3:$E$83,4,FALSE)*E246)</f>
        <v>2989.611</v>
      </c>
    </row>
    <row r="247" ht="15.75" customHeight="1">
      <c r="A247" s="39" t="s">
        <v>2071</v>
      </c>
      <c r="B247" s="31" t="s">
        <v>2095</v>
      </c>
      <c r="C247" s="39" t="s">
        <v>2136</v>
      </c>
      <c r="D247" s="33" t="s">
        <v>2111</v>
      </c>
      <c r="E247" s="32">
        <v>1.65</v>
      </c>
      <c r="F247" s="33" t="s">
        <v>2129</v>
      </c>
      <c r="G247" s="33" t="s">
        <v>2143</v>
      </c>
      <c r="H247" s="41" t="s">
        <v>2112</v>
      </c>
      <c r="I247" s="34" t="str">
        <f>IF(ISBLANK(A247),"",VLOOKUP(A247,RELACIONES!$G$3:$H$65,2,FALSE()))</f>
        <v>Construcción en Seco Cielorraso con placas de yeso</v>
      </c>
      <c r="J247" s="35" t="str">
        <f>IF(ISBLANK(A247),"",VLOOKUP(C247,RELACIONES!$A$3:$B$70,2,FALSE))</f>
        <v>Cinta de papel x 76mm - Durlock (rollo de 150 ml)</v>
      </c>
      <c r="K247" s="40">
        <f>IF(ISBLANK(A247),"",VLOOKUP(J247,RELACIONES!$B$3:$E$83,4,FALSE)*E247)</f>
        <v>2.79873</v>
      </c>
    </row>
    <row r="248" ht="15.75" customHeight="1">
      <c r="A248" s="39" t="s">
        <v>2071</v>
      </c>
      <c r="B248" s="31" t="s">
        <v>2095</v>
      </c>
      <c r="C248" s="39" t="s">
        <v>2139</v>
      </c>
      <c r="D248" s="33" t="s">
        <v>2114</v>
      </c>
      <c r="E248" s="32">
        <v>1.05</v>
      </c>
      <c r="F248" s="33" t="s">
        <v>2129</v>
      </c>
      <c r="G248" s="33" t="s">
        <v>2143</v>
      </c>
      <c r="H248" s="33" t="s">
        <v>2104</v>
      </c>
      <c r="I248" s="34" t="str">
        <f>IF(ISBLANK(A248),"",VLOOKUP(A248,RELACIONES!$G$3:$H$65,2,FALSE()))</f>
        <v>Construcción en Seco Cielorraso con placas de yeso</v>
      </c>
      <c r="J248" s="35" t="str">
        <f>IF(ISBLANK(A248),"",VLOOKUP(C248,RELACIONES!$A$3:$B$70,2,FALSE))</f>
        <v>Aislante Lana de Vidrio Isover Rolac Plata Muro, esp 70 mm.</v>
      </c>
      <c r="K248" s="40">
        <f>IF(ISBLANK(A248),"",VLOOKUP(J248,RELACIONES!$B$3:$E$83,4,FALSE)*E248)</f>
        <v>26491.227</v>
      </c>
    </row>
    <row r="249" ht="15.75" customHeight="1">
      <c r="A249" s="39" t="s">
        <v>2071</v>
      </c>
      <c r="B249" s="31" t="s">
        <v>2095</v>
      </c>
      <c r="C249" s="39" t="s">
        <v>2138</v>
      </c>
      <c r="D249" s="33" t="s">
        <v>2097</v>
      </c>
      <c r="E249" s="32">
        <v>0.067</v>
      </c>
      <c r="F249" s="33" t="s">
        <v>2129</v>
      </c>
      <c r="G249" s="33" t="s">
        <v>2143</v>
      </c>
      <c r="H249" s="41" t="s">
        <v>2112</v>
      </c>
      <c r="I249" s="34" t="str">
        <f>IF(ISBLANK(A249),"",VLOOKUP(A249,RELACIONES!$G$3:$H$65,2,FALSE()))</f>
        <v>Construcción en Seco Cielorraso con placas de yeso</v>
      </c>
      <c r="J249" s="35" t="str">
        <f>IF(ISBLANK(A249),"",VLOOKUP(C249,RELACIONES!$A$3:$B$70,2,FALSE))</f>
        <v>Lija</v>
      </c>
      <c r="K249" s="40">
        <f>IF(ISBLANK(A249),"",VLOOKUP(J249,RELACIONES!$B$3:$E$83,4,FALSE)*E249)</f>
        <v>72.27625</v>
      </c>
    </row>
    <row r="250" ht="15.75" customHeight="1">
      <c r="A250" s="39" t="s">
        <v>2071</v>
      </c>
      <c r="B250" s="31" t="s">
        <v>2095</v>
      </c>
      <c r="C250" s="39" t="s">
        <v>2126</v>
      </c>
      <c r="D250" s="33" t="s">
        <v>2111</v>
      </c>
      <c r="E250" s="32">
        <v>0.3</v>
      </c>
      <c r="F250" s="33" t="s">
        <v>2129</v>
      </c>
      <c r="G250" s="33" t="s">
        <v>2143</v>
      </c>
      <c r="H250" s="41" t="s">
        <v>2112</v>
      </c>
      <c r="I250" s="34" t="str">
        <f>IF(ISBLANK(A250),"",VLOOKUP(A250,RELACIONES!$G$3:$H$65,2,FALSE()))</f>
        <v>Construcción en Seco Cielorraso con placas de yeso</v>
      </c>
      <c r="J250" s="35" t="str">
        <f>IF(ISBLANK(A250),"",VLOOKUP(C250,RELACIONES!$A$3:$B$70,2,FALSE))</f>
        <v>Cinta Papel encubrir 18 mm. x 50 mts</v>
      </c>
      <c r="K250" s="40">
        <f>IF(ISBLANK(A250),"",VLOOKUP(J250,RELACIONES!$B$3:$E$83,4,FALSE)*E250)</f>
        <v>34.52004</v>
      </c>
    </row>
    <row r="251" ht="15.75" customHeight="1">
      <c r="A251" s="36"/>
      <c r="B251" s="36"/>
      <c r="C251" s="36"/>
      <c r="D251" s="36"/>
      <c r="E251" s="37"/>
      <c r="F251" s="36"/>
      <c r="G251" s="36"/>
      <c r="H251" s="36"/>
      <c r="I251" s="34" t="str">
        <f>IF(ISBLANK(A251),"",VLOOKUP(A251,RELACIONES!$G$3:$H$65,2,FALSE()))</f>
        <v/>
      </c>
      <c r="J251" s="35" t="str">
        <f>IF(ISBLANK(A251),"",VLOOKUP(C251,RELACIONES!$A$3:$B$70,2,FALSE))</f>
        <v/>
      </c>
      <c r="K251" s="35" t="str">
        <f>IF(ISBLANK(A251),"",VLOOKUP(J251,RELACIONES!$B$3:$E$83,4,FALSE)*E251)</f>
        <v/>
      </c>
    </row>
    <row r="252" ht="15.75" customHeight="1">
      <c r="A252" s="39" t="s">
        <v>2072</v>
      </c>
      <c r="B252" s="31" t="s">
        <v>2095</v>
      </c>
      <c r="C252" s="39" t="s">
        <v>2147</v>
      </c>
      <c r="D252" s="33" t="s">
        <v>2148</v>
      </c>
      <c r="E252" s="32">
        <v>0.08</v>
      </c>
      <c r="F252" s="33" t="s">
        <v>2149</v>
      </c>
      <c r="G252" s="33" t="s">
        <v>2150</v>
      </c>
      <c r="H252" s="33" t="s">
        <v>2104</v>
      </c>
      <c r="I252" s="34" t="str">
        <f>IF(ISBLANK(A252),"",VLOOKUP(A252,RELACIONES!$G$3:$H$65,2,FALSE()))</f>
        <v>Pinturas Paredes interiores</v>
      </c>
      <c r="J252" s="35" t="str">
        <f>IF(ISBLANK(A252),"",VLOOKUP(C252,RELACIONES!$A$3:$B$70,2,FALSE))</f>
        <v>Fijador-Sellador al Agua Alba, 20lts.</v>
      </c>
      <c r="K252" s="40">
        <f>IF(ISBLANK(A252),"",VLOOKUP(J252,RELACIONES!$B$3:$E$83,4,FALSE)*E252)</f>
        <v>835.77972</v>
      </c>
    </row>
    <row r="253" ht="15.75" customHeight="1">
      <c r="A253" s="39" t="s">
        <v>2072</v>
      </c>
      <c r="B253" s="31" t="s">
        <v>2095</v>
      </c>
      <c r="C253" s="39" t="s">
        <v>2151</v>
      </c>
      <c r="D253" s="33" t="s">
        <v>2148</v>
      </c>
      <c r="E253" s="32">
        <v>0.26</v>
      </c>
      <c r="F253" s="33" t="s">
        <v>2149</v>
      </c>
      <c r="G253" s="33" t="s">
        <v>2150</v>
      </c>
      <c r="H253" s="33" t="s">
        <v>2104</v>
      </c>
      <c r="I253" s="34" t="str">
        <f>IF(ISBLANK(A253),"",VLOOKUP(A253,RELACIONES!$G$3:$H$65,2,FALSE()))</f>
        <v>Pinturas Paredes interiores</v>
      </c>
      <c r="J253" s="35" t="str">
        <f>IF(ISBLANK(A253),"",VLOOKUP(C253,RELACIONES!$A$3:$B$70,2,FALSE))</f>
        <v>Enduido Interior Alba, 1kg</v>
      </c>
      <c r="K253" s="40">
        <f>IF(ISBLANK(A253),"",VLOOKUP(J253,RELACIONES!$B$3:$E$83,4,FALSE)*E253)</f>
        <v>3973.3954</v>
      </c>
    </row>
    <row r="254" ht="15.75" customHeight="1">
      <c r="A254" s="39" t="s">
        <v>2072</v>
      </c>
      <c r="B254" s="31" t="s">
        <v>2095</v>
      </c>
      <c r="C254" s="39" t="s">
        <v>2152</v>
      </c>
      <c r="D254" s="33" t="s">
        <v>2097</v>
      </c>
      <c r="E254" s="32">
        <v>0.025</v>
      </c>
      <c r="F254" s="33" t="s">
        <v>2149</v>
      </c>
      <c r="G254" s="33" t="s">
        <v>2150</v>
      </c>
      <c r="H254" s="41" t="s">
        <v>2112</v>
      </c>
      <c r="I254" s="34" t="str">
        <f>IF(ISBLANK(A254),"",VLOOKUP(A254,RELACIONES!$G$3:$H$65,2,FALSE()))</f>
        <v>Pinturas Paredes interiores</v>
      </c>
      <c r="J254" s="35" t="str">
        <f>IF(ISBLANK(A254),"",VLOOKUP(C254,RELACIONES!$A$3:$B$70,2,FALSE))</f>
        <v>Rodillo Lana 22cm</v>
      </c>
      <c r="K254" s="40">
        <f>IF(ISBLANK(A254),"",VLOOKUP(J254,RELACIONES!$B$3:$E$83,4,FALSE)*E254)</f>
        <v>359.58325</v>
      </c>
    </row>
    <row r="255" ht="15.75" customHeight="1">
      <c r="A255" s="39" t="s">
        <v>2072</v>
      </c>
      <c r="B255" s="31" t="s">
        <v>2095</v>
      </c>
      <c r="C255" s="39" t="s">
        <v>1446</v>
      </c>
      <c r="D255" s="33" t="s">
        <v>2097</v>
      </c>
      <c r="E255" s="32">
        <v>0.033</v>
      </c>
      <c r="F255" s="33" t="s">
        <v>2149</v>
      </c>
      <c r="G255" s="33" t="s">
        <v>2150</v>
      </c>
      <c r="H255" s="41" t="s">
        <v>2112</v>
      </c>
      <c r="I255" s="34" t="str">
        <f>IF(ISBLANK(A255),"",VLOOKUP(A255,RELACIONES!$G$3:$H$65,2,FALSE()))</f>
        <v>Pinturas Paredes interiores</v>
      </c>
      <c r="J255" s="35" t="str">
        <f>IF(ISBLANK(A255),"",VLOOKUP(C255,RELACIONES!$A$3:$B$70,2,FALSE))</f>
        <v>PINCEL N°20 (U)</v>
      </c>
      <c r="K255" s="40">
        <f>IF(ISBLANK(A255),"",VLOOKUP(J255,RELACIONES!$B$3:$E$83,4,FALSE)*E255)</f>
        <v>165</v>
      </c>
    </row>
    <row r="256" ht="15.75" customHeight="1">
      <c r="A256" s="39" t="s">
        <v>2072</v>
      </c>
      <c r="B256" s="31" t="s">
        <v>2095</v>
      </c>
      <c r="C256" s="39" t="s">
        <v>1440</v>
      </c>
      <c r="D256" s="33" t="s">
        <v>2097</v>
      </c>
      <c r="E256" s="32">
        <v>0.013</v>
      </c>
      <c r="F256" s="33" t="s">
        <v>2149</v>
      </c>
      <c r="G256" s="33" t="s">
        <v>2150</v>
      </c>
      <c r="H256" s="41" t="s">
        <v>2112</v>
      </c>
      <c r="I256" s="34" t="str">
        <f>IF(ISBLANK(A256),"",VLOOKUP(A256,RELACIONES!$G$3:$H$65,2,FALSE()))</f>
        <v>Pinturas Paredes interiores</v>
      </c>
      <c r="J256" s="35" t="str">
        <f>IF(ISBLANK(A256),"",VLOOKUP(C256,RELACIONES!$A$3:$B$70,2,FALSE))</f>
        <v>FRATACHO ABRASIVO (U)</v>
      </c>
      <c r="K256" s="40">
        <f>IF(ISBLANK(A256),"",VLOOKUP(J256,RELACIONES!$B$3:$E$83,4,FALSE)*E256)</f>
        <v>58.5</v>
      </c>
    </row>
    <row r="257" ht="15.75" customHeight="1">
      <c r="A257" s="39" t="s">
        <v>2072</v>
      </c>
      <c r="B257" s="31" t="s">
        <v>2095</v>
      </c>
      <c r="C257" s="39" t="s">
        <v>2138</v>
      </c>
      <c r="D257" s="33" t="s">
        <v>2097</v>
      </c>
      <c r="E257" s="32">
        <v>0.1</v>
      </c>
      <c r="F257" s="33" t="s">
        <v>2149</v>
      </c>
      <c r="G257" s="33" t="s">
        <v>2150</v>
      </c>
      <c r="H257" s="41" t="s">
        <v>2112</v>
      </c>
      <c r="I257" s="34" t="str">
        <f>IF(ISBLANK(A257),"",VLOOKUP(A257,RELACIONES!$G$3:$H$65,2,FALSE()))</f>
        <v>Pinturas Paredes interiores</v>
      </c>
      <c r="J257" s="35" t="str">
        <f>IF(ISBLANK(A257),"",VLOOKUP(C257,RELACIONES!$A$3:$B$70,2,FALSE))</f>
        <v>Lija</v>
      </c>
      <c r="K257" s="40">
        <f>IF(ISBLANK(A257),"",VLOOKUP(J257,RELACIONES!$B$3:$E$83,4,FALSE)*E257)</f>
        <v>107.875</v>
      </c>
    </row>
    <row r="258" ht="15.75" customHeight="1">
      <c r="A258" s="39" t="s">
        <v>2072</v>
      </c>
      <c r="B258" s="31" t="s">
        <v>2095</v>
      </c>
      <c r="C258" s="47" t="s">
        <v>1438</v>
      </c>
      <c r="D258" s="31" t="s">
        <v>2114</v>
      </c>
      <c r="E258" s="32">
        <f>1/3</f>
        <v>0.3333333333</v>
      </c>
      <c r="F258" s="33" t="s">
        <v>2149</v>
      </c>
      <c r="G258" s="33" t="s">
        <v>2150</v>
      </c>
      <c r="H258" s="41" t="s">
        <v>2112</v>
      </c>
      <c r="I258" s="34" t="str">
        <f>IF(ISBLANK(A258),"",VLOOKUP(A258,RELACIONES!$G$3:$H$65,2,FALSE()))</f>
        <v>Pinturas Paredes interiores</v>
      </c>
      <c r="J258" s="35" t="str">
        <f>IF(ISBLANK(A258),"",VLOOKUP(C258,RELACIONES!$A$3:$B$70,2,FALSE))</f>
        <v>CARTÓN CORRUGADO (M2)</v>
      </c>
      <c r="K258" s="40">
        <f>IF(ISBLANK(A258),"",VLOOKUP(J258,RELACIONES!$B$3:$E$83,4,FALSE)*E258)</f>
        <v>173.3333333</v>
      </c>
    </row>
    <row r="259" ht="15.75" customHeight="1">
      <c r="A259" s="39" t="s">
        <v>2072</v>
      </c>
      <c r="B259" s="31" t="s">
        <v>2095</v>
      </c>
      <c r="C259" s="39" t="s">
        <v>2126</v>
      </c>
      <c r="D259" s="33" t="s">
        <v>2111</v>
      </c>
      <c r="E259" s="32">
        <v>0.5</v>
      </c>
      <c r="F259" s="33" t="s">
        <v>2149</v>
      </c>
      <c r="G259" s="33" t="s">
        <v>2150</v>
      </c>
      <c r="H259" s="41" t="s">
        <v>2112</v>
      </c>
      <c r="I259" s="34" t="str">
        <f>IF(ISBLANK(A259),"",VLOOKUP(A259,RELACIONES!$G$3:$H$65,2,FALSE()))</f>
        <v>Pinturas Paredes interiores</v>
      </c>
      <c r="J259" s="35" t="str">
        <f>IF(ISBLANK(A259),"",VLOOKUP(C259,RELACIONES!$A$3:$B$70,2,FALSE))</f>
        <v>Cinta Papel encubrir 18 mm. x 50 mts</v>
      </c>
      <c r="K259" s="40">
        <f>IF(ISBLANK(A259),"",VLOOKUP(J259,RELACIONES!$B$3:$E$83,4,FALSE)*E259)</f>
        <v>57.5334</v>
      </c>
    </row>
    <row r="260" ht="15.75" customHeight="1">
      <c r="A260" s="36"/>
      <c r="B260" s="36"/>
      <c r="C260" s="36"/>
      <c r="D260" s="36"/>
      <c r="E260" s="37"/>
      <c r="F260" s="36"/>
      <c r="G260" s="36"/>
      <c r="H260" s="36"/>
      <c r="I260" s="34" t="str">
        <f>IF(ISBLANK(A260),"",VLOOKUP(A260,RELACIONES!$G$3:$H$65,2,FALSE()))</f>
        <v/>
      </c>
      <c r="J260" s="35" t="str">
        <f>IF(ISBLANK(A260),"",VLOOKUP(C260,RELACIONES!$A$3:$B$70,2,FALSE))</f>
        <v/>
      </c>
      <c r="K260" s="35" t="str">
        <f>IF(ISBLANK(A260),"",VLOOKUP(J260,RELACIONES!$B$3:$E$83,4,FALSE)*E260)</f>
        <v/>
      </c>
    </row>
    <row r="261" ht="15.75" customHeight="1">
      <c r="A261" s="42" t="s">
        <v>2073</v>
      </c>
      <c r="B261" s="43" t="s">
        <v>2095</v>
      </c>
      <c r="C261" s="42" t="s">
        <v>2147</v>
      </c>
      <c r="D261" s="44" t="s">
        <v>2148</v>
      </c>
      <c r="E261" s="45">
        <v>0.08</v>
      </c>
      <c r="F261" s="44" t="s">
        <v>2149</v>
      </c>
      <c r="G261" s="44" t="s">
        <v>2153</v>
      </c>
      <c r="H261" s="44" t="s">
        <v>2104</v>
      </c>
      <c r="I261" s="34" t="str">
        <f>IF(ISBLANK(A261),"",VLOOKUP(A261,RELACIONES!$G$3:$H$65,2,FALSE()))</f>
        <v>Pinturas Paredes interiores</v>
      </c>
      <c r="J261" s="35" t="str">
        <f>IF(ISBLANK(A261),"",VLOOKUP(C261,RELACIONES!$A$3:$B$70,2,FALSE))</f>
        <v>Fijador-Sellador al Agua Alba, 20lts.</v>
      </c>
      <c r="K261" s="40">
        <f>IF(ISBLANK(A261),"",VLOOKUP(J261,RELACIONES!$B$3:$E$83,4,FALSE)*E261)</f>
        <v>835.77972</v>
      </c>
    </row>
    <row r="262" ht="15.75" customHeight="1">
      <c r="A262" s="42" t="s">
        <v>2073</v>
      </c>
      <c r="B262" s="43" t="s">
        <v>2095</v>
      </c>
      <c r="C262" s="42" t="s">
        <v>2154</v>
      </c>
      <c r="D262" s="44" t="s">
        <v>2148</v>
      </c>
      <c r="E262" s="45">
        <v>0.27</v>
      </c>
      <c r="F262" s="44" t="s">
        <v>2149</v>
      </c>
      <c r="G262" s="44" t="s">
        <v>2153</v>
      </c>
      <c r="H262" s="44" t="s">
        <v>2104</v>
      </c>
      <c r="I262" s="34" t="str">
        <f>IF(ISBLANK(A262),"",VLOOKUP(A262,RELACIONES!$G$3:$H$65,2,FALSE()))</f>
        <v>Pinturas Paredes interiores</v>
      </c>
      <c r="J262" s="35" t="str">
        <f>IF(ISBLANK(A262),"",VLOOKUP(C262,RELACIONES!$A$3:$B$70,2,FALSE))</f>
        <v>Latex Albalatex Design, 4lts.</v>
      </c>
      <c r="K262" s="40">
        <f>IF(ISBLANK(A262),"",VLOOKUP(J262,RELACIONES!$B$3:$E$83,4,FALSE)*E262)</f>
        <v>4084.27515</v>
      </c>
    </row>
    <row r="263" ht="15.75" customHeight="1">
      <c r="A263" s="42" t="s">
        <v>2073</v>
      </c>
      <c r="B263" s="43" t="s">
        <v>2095</v>
      </c>
      <c r="C263" s="42" t="s">
        <v>2152</v>
      </c>
      <c r="D263" s="44" t="s">
        <v>2097</v>
      </c>
      <c r="E263" s="45">
        <v>0.02</v>
      </c>
      <c r="F263" s="44" t="s">
        <v>2149</v>
      </c>
      <c r="G263" s="44" t="s">
        <v>2153</v>
      </c>
      <c r="H263" s="46" t="s">
        <v>2112</v>
      </c>
      <c r="I263" s="34" t="str">
        <f>IF(ISBLANK(A263),"",VLOOKUP(A263,RELACIONES!$G$3:$H$65,2,FALSE()))</f>
        <v>Pinturas Paredes interiores</v>
      </c>
      <c r="J263" s="35" t="str">
        <f>IF(ISBLANK(A263),"",VLOOKUP(C263,RELACIONES!$A$3:$B$70,2,FALSE))</f>
        <v>Rodillo Lana 22cm</v>
      </c>
      <c r="K263" s="40">
        <f>IF(ISBLANK(A263),"",VLOOKUP(J263,RELACIONES!$B$3:$E$83,4,FALSE)*E263)</f>
        <v>287.6666</v>
      </c>
    </row>
    <row r="264" ht="15.75" customHeight="1">
      <c r="A264" s="42" t="s">
        <v>2073</v>
      </c>
      <c r="B264" s="43" t="s">
        <v>2095</v>
      </c>
      <c r="C264" s="42" t="s">
        <v>1446</v>
      </c>
      <c r="D264" s="44" t="s">
        <v>2097</v>
      </c>
      <c r="E264" s="45">
        <v>0.025</v>
      </c>
      <c r="F264" s="44" t="s">
        <v>2149</v>
      </c>
      <c r="G264" s="44" t="s">
        <v>2153</v>
      </c>
      <c r="H264" s="46" t="s">
        <v>2112</v>
      </c>
      <c r="I264" s="34" t="str">
        <f>IF(ISBLANK(A264),"",VLOOKUP(A264,RELACIONES!$G$3:$H$65,2,FALSE()))</f>
        <v>Pinturas Paredes interiores</v>
      </c>
      <c r="J264" s="35" t="str">
        <f>IF(ISBLANK(A264),"",VLOOKUP(C264,RELACIONES!$A$3:$B$70,2,FALSE))</f>
        <v>PINCEL N°20 (U)</v>
      </c>
      <c r="K264" s="40">
        <f>IF(ISBLANK(A264),"",VLOOKUP(J264,RELACIONES!$B$3:$E$83,4,FALSE)*E264)</f>
        <v>125</v>
      </c>
    </row>
    <row r="265" ht="15.75" customHeight="1">
      <c r="A265" s="42" t="s">
        <v>2073</v>
      </c>
      <c r="B265" s="43" t="s">
        <v>2095</v>
      </c>
      <c r="C265" s="42" t="s">
        <v>2126</v>
      </c>
      <c r="D265" s="44" t="s">
        <v>2111</v>
      </c>
      <c r="E265" s="45">
        <v>0.5</v>
      </c>
      <c r="F265" s="44" t="s">
        <v>2149</v>
      </c>
      <c r="G265" s="44" t="s">
        <v>2153</v>
      </c>
      <c r="H265" s="46" t="s">
        <v>2112</v>
      </c>
      <c r="I265" s="34" t="str">
        <f>IF(ISBLANK(A265),"",VLOOKUP(A265,RELACIONES!$G$3:$H$65,2,FALSE()))</f>
        <v>Pinturas Paredes interiores</v>
      </c>
      <c r="J265" s="35" t="str">
        <f>IF(ISBLANK(A265),"",VLOOKUP(C265,RELACIONES!$A$3:$B$70,2,FALSE))</f>
        <v>Cinta Papel encubrir 18 mm. x 50 mts</v>
      </c>
      <c r="K265" s="40">
        <f>IF(ISBLANK(A265),"",VLOOKUP(J265,RELACIONES!$B$3:$E$83,4,FALSE)*E265)</f>
        <v>57.5334</v>
      </c>
    </row>
    <row r="266" ht="15.75" customHeight="1">
      <c r="A266" s="36"/>
      <c r="B266" s="36"/>
      <c r="C266" s="36"/>
      <c r="D266" s="36"/>
      <c r="E266" s="37"/>
      <c r="F266" s="36"/>
      <c r="G266" s="36"/>
      <c r="H266" s="36"/>
      <c r="I266" s="34" t="str">
        <f>IF(ISBLANK(A266),"",VLOOKUP(A266,RELACIONES!$G$3:$H$65,2,FALSE()))</f>
        <v/>
      </c>
      <c r="J266" s="35" t="str">
        <f>IF(ISBLANK(A266),"",VLOOKUP(C266,RELACIONES!$A$3:$B$70,2,FALSE))</f>
        <v/>
      </c>
      <c r="K266" s="35" t="str">
        <f>IF(ISBLANK(A266),"",VLOOKUP(J266,RELACIONES!$B$3:$E$83,4,FALSE)*E266)</f>
        <v/>
      </c>
    </row>
    <row r="267" ht="15.75" customHeight="1">
      <c r="A267" s="39" t="s">
        <v>2074</v>
      </c>
      <c r="B267" s="31" t="s">
        <v>2095</v>
      </c>
      <c r="C267" s="39" t="s">
        <v>2147</v>
      </c>
      <c r="D267" s="33" t="s">
        <v>2148</v>
      </c>
      <c r="E267" s="32">
        <v>0.08</v>
      </c>
      <c r="F267" s="33" t="s">
        <v>2149</v>
      </c>
      <c r="G267" s="33" t="s">
        <v>2153</v>
      </c>
      <c r="H267" s="33" t="s">
        <v>2104</v>
      </c>
      <c r="I267" s="34" t="str">
        <f>IF(ISBLANK(A267),"",VLOOKUP(A267,RELACIONES!$G$3:$H$65,2,FALSE()))</f>
        <v>Pinturas Paredes interiores</v>
      </c>
      <c r="J267" s="35" t="str">
        <f>IF(ISBLANK(A267),"",VLOOKUP(C267,RELACIONES!$A$3:$B$70,2,FALSE))</f>
        <v>Fijador-Sellador al Agua Alba, 20lts.</v>
      </c>
      <c r="K267" s="40">
        <f>IF(ISBLANK(A267),"",VLOOKUP(J267,RELACIONES!$B$3:$E$83,4,FALSE)*E267)</f>
        <v>835.77972</v>
      </c>
    </row>
    <row r="268" ht="15.75" customHeight="1">
      <c r="A268" s="39" t="s">
        <v>2074</v>
      </c>
      <c r="B268" s="31" t="s">
        <v>2095</v>
      </c>
      <c r="C268" s="39" t="s">
        <v>2155</v>
      </c>
      <c r="D268" s="33" t="s">
        <v>2148</v>
      </c>
      <c r="E268" s="32">
        <v>0.27</v>
      </c>
      <c r="F268" s="33" t="s">
        <v>2149</v>
      </c>
      <c r="G268" s="33" t="s">
        <v>2153</v>
      </c>
      <c r="H268" s="33" t="s">
        <v>2104</v>
      </c>
      <c r="I268" s="34" t="str">
        <f>IF(ISBLANK(A268),"",VLOOKUP(A268,RELACIONES!$G$3:$H$65,2,FALSE()))</f>
        <v>Pinturas Paredes interiores</v>
      </c>
      <c r="J268" s="35" t="str">
        <f>IF(ISBLANK(A268),"",VLOOKUP(C268,RELACIONES!$A$3:$B$70,2,FALSE))</f>
        <v>Latex Albalatex Design, 4lts.</v>
      </c>
      <c r="K268" s="40">
        <f>IF(ISBLANK(A268),"",VLOOKUP(J268,RELACIONES!$B$3:$E$83,4,FALSE)*E268)</f>
        <v>4084.27515</v>
      </c>
    </row>
    <row r="269" ht="15.75" customHeight="1">
      <c r="A269" s="39" t="s">
        <v>2074</v>
      </c>
      <c r="B269" s="31" t="s">
        <v>2095</v>
      </c>
      <c r="C269" s="39" t="s">
        <v>2152</v>
      </c>
      <c r="D269" s="33" t="s">
        <v>2097</v>
      </c>
      <c r="E269" s="32">
        <v>0.02</v>
      </c>
      <c r="F269" s="33" t="s">
        <v>2149</v>
      </c>
      <c r="G269" s="33" t="s">
        <v>2153</v>
      </c>
      <c r="H269" s="41" t="s">
        <v>2112</v>
      </c>
      <c r="I269" s="34" t="str">
        <f>IF(ISBLANK(A269),"",VLOOKUP(A269,RELACIONES!$G$3:$H$65,2,FALSE()))</f>
        <v>Pinturas Paredes interiores</v>
      </c>
      <c r="J269" s="35" t="str">
        <f>IF(ISBLANK(A269),"",VLOOKUP(C269,RELACIONES!$A$3:$B$70,2,FALSE))</f>
        <v>Rodillo Lana 22cm</v>
      </c>
      <c r="K269" s="40">
        <f>IF(ISBLANK(A269),"",VLOOKUP(J269,RELACIONES!$B$3:$E$83,4,FALSE)*E269)</f>
        <v>287.6666</v>
      </c>
    </row>
    <row r="270" ht="15.75" customHeight="1">
      <c r="A270" s="39" t="s">
        <v>2074</v>
      </c>
      <c r="B270" s="31" t="s">
        <v>2095</v>
      </c>
      <c r="C270" s="39" t="s">
        <v>1446</v>
      </c>
      <c r="D270" s="33" t="s">
        <v>2097</v>
      </c>
      <c r="E270" s="32">
        <v>0.025</v>
      </c>
      <c r="F270" s="33" t="s">
        <v>2149</v>
      </c>
      <c r="G270" s="33" t="s">
        <v>2153</v>
      </c>
      <c r="H270" s="41" t="s">
        <v>2112</v>
      </c>
      <c r="I270" s="34" t="str">
        <f>IF(ISBLANK(A270),"",VLOOKUP(A270,RELACIONES!$G$3:$H$65,2,FALSE()))</f>
        <v>Pinturas Paredes interiores</v>
      </c>
      <c r="J270" s="35" t="str">
        <f>IF(ISBLANK(A270),"",VLOOKUP(C270,RELACIONES!$A$3:$B$70,2,FALSE))</f>
        <v>PINCEL N°20 (U)</v>
      </c>
      <c r="K270" s="40">
        <f>IF(ISBLANK(A270),"",VLOOKUP(J270,RELACIONES!$B$3:$E$83,4,FALSE)*E270)</f>
        <v>125</v>
      </c>
    </row>
    <row r="271" ht="15.75" customHeight="1">
      <c r="A271" s="39" t="s">
        <v>2074</v>
      </c>
      <c r="B271" s="31" t="s">
        <v>2095</v>
      </c>
      <c r="C271" s="47" t="s">
        <v>1438</v>
      </c>
      <c r="D271" s="31" t="s">
        <v>2114</v>
      </c>
      <c r="E271" s="32">
        <v>0.3333333333333333</v>
      </c>
      <c r="F271" s="33" t="s">
        <v>2149</v>
      </c>
      <c r="G271" s="33" t="s">
        <v>2153</v>
      </c>
      <c r="H271" s="41" t="s">
        <v>2112</v>
      </c>
      <c r="I271" s="34" t="str">
        <f>IF(ISBLANK(A271),"",VLOOKUP(A271,RELACIONES!$G$3:$H$65,2,FALSE()))</f>
        <v>Pinturas Paredes interiores</v>
      </c>
      <c r="J271" s="35" t="str">
        <f>IF(ISBLANK(A271),"",VLOOKUP(C271,RELACIONES!$A$3:$B$70,2,FALSE))</f>
        <v>CARTÓN CORRUGADO (M2)</v>
      </c>
      <c r="K271" s="40">
        <f>IF(ISBLANK(A271),"",VLOOKUP(J271,RELACIONES!$B$3:$E$83,4,FALSE)*E271)</f>
        <v>173.3333333</v>
      </c>
    </row>
    <row r="272" ht="15.75" customHeight="1">
      <c r="A272" s="39" t="s">
        <v>2074</v>
      </c>
      <c r="B272" s="31" t="s">
        <v>2095</v>
      </c>
      <c r="C272" s="39" t="s">
        <v>2126</v>
      </c>
      <c r="D272" s="33" t="s">
        <v>2111</v>
      </c>
      <c r="E272" s="32">
        <v>0.5</v>
      </c>
      <c r="F272" s="33" t="s">
        <v>2149</v>
      </c>
      <c r="G272" s="33" t="s">
        <v>2153</v>
      </c>
      <c r="H272" s="41" t="s">
        <v>2112</v>
      </c>
      <c r="I272" s="34" t="str">
        <f>IF(ISBLANK(A272),"",VLOOKUP(A272,RELACIONES!$G$3:$H$65,2,FALSE()))</f>
        <v>Pinturas Paredes interiores</v>
      </c>
      <c r="J272" s="35" t="str">
        <f>IF(ISBLANK(A272),"",VLOOKUP(C272,RELACIONES!$A$3:$B$70,2,FALSE))</f>
        <v>Cinta Papel encubrir 18 mm. x 50 mts</v>
      </c>
      <c r="K272" s="40">
        <f>IF(ISBLANK(A272),"",VLOOKUP(J272,RELACIONES!$B$3:$E$83,4,FALSE)*E272)</f>
        <v>57.5334</v>
      </c>
    </row>
    <row r="273" ht="15.75" customHeight="1">
      <c r="A273" s="36"/>
      <c r="B273" s="36"/>
      <c r="C273" s="36"/>
      <c r="D273" s="36"/>
      <c r="E273" s="37"/>
      <c r="F273" s="36"/>
      <c r="G273" s="36"/>
      <c r="H273" s="36"/>
      <c r="I273" s="34" t="str">
        <f>IF(ISBLANK(A273),"",VLOOKUP(A273,RELACIONES!$G$3:$H$65,2,FALSE()))</f>
        <v/>
      </c>
      <c r="J273" s="35" t="str">
        <f>IF(ISBLANK(A273),"",VLOOKUP(C273,RELACIONES!$A$3:$B$70,2,FALSE))</f>
        <v/>
      </c>
      <c r="K273" s="35" t="str">
        <f>IF(ISBLANK(A273),"",VLOOKUP(J273,RELACIONES!$B$3:$E$83,4,FALSE)*E273)</f>
        <v/>
      </c>
    </row>
    <row r="274" ht="15.75" customHeight="1">
      <c r="A274" s="42" t="s">
        <v>2075</v>
      </c>
      <c r="B274" s="43" t="s">
        <v>2095</v>
      </c>
      <c r="C274" s="42" t="s">
        <v>2147</v>
      </c>
      <c r="D274" s="44" t="s">
        <v>2148</v>
      </c>
      <c r="E274" s="45">
        <v>0.08</v>
      </c>
      <c r="F274" s="44" t="s">
        <v>2149</v>
      </c>
      <c r="G274" s="44" t="s">
        <v>2156</v>
      </c>
      <c r="H274" s="44" t="s">
        <v>2104</v>
      </c>
      <c r="I274" s="34" t="str">
        <f>IF(ISBLANK(A274),"",VLOOKUP(A274,RELACIONES!$G$3:$H$65,2,FALSE()))</f>
        <v>Pinturas Paredes exteriores</v>
      </c>
      <c r="J274" s="35" t="str">
        <f>IF(ISBLANK(A274),"",VLOOKUP(C274,RELACIONES!$A$3:$B$70,2,FALSE))</f>
        <v>Fijador-Sellador al Agua Alba, 20lts.</v>
      </c>
      <c r="K274" s="40">
        <f>IF(ISBLANK(A274),"",VLOOKUP(J274,RELACIONES!$B$3:$E$83,4,FALSE)*E274)</f>
        <v>835.77972</v>
      </c>
    </row>
    <row r="275" ht="15.75" customHeight="1">
      <c r="A275" s="42" t="s">
        <v>2075</v>
      </c>
      <c r="B275" s="43" t="s">
        <v>2095</v>
      </c>
      <c r="C275" s="42" t="s">
        <v>2157</v>
      </c>
      <c r="D275" s="44" t="s">
        <v>2148</v>
      </c>
      <c r="E275" s="45">
        <v>0.33</v>
      </c>
      <c r="F275" s="44" t="s">
        <v>2149</v>
      </c>
      <c r="G275" s="44" t="s">
        <v>2156</v>
      </c>
      <c r="H275" s="44" t="s">
        <v>2104</v>
      </c>
      <c r="I275" s="34" t="str">
        <f>IF(ISBLANK(A275),"",VLOOKUP(A275,RELACIONES!$G$3:$H$65,2,FALSE()))</f>
        <v>Pinturas Paredes exteriores</v>
      </c>
      <c r="J275" s="35" t="str">
        <f>IF(ISBLANK(A275),"",VLOOKUP(C275,RELACIONES!$A$3:$B$70,2,FALSE))</f>
        <v>Látex Profesional Exterior Alba</v>
      </c>
      <c r="K275" s="40">
        <f>IF(ISBLANK(A275),"",VLOOKUP(J275,RELACIONES!$B$3:$E$83,4,FALSE)*E275)</f>
        <v>5636.4759</v>
      </c>
    </row>
    <row r="276" ht="15.75" customHeight="1">
      <c r="A276" s="42" t="s">
        <v>2075</v>
      </c>
      <c r="B276" s="43" t="s">
        <v>2095</v>
      </c>
      <c r="C276" s="42" t="s">
        <v>2152</v>
      </c>
      <c r="D276" s="44" t="s">
        <v>2097</v>
      </c>
      <c r="E276" s="45">
        <v>0.02</v>
      </c>
      <c r="F276" s="44" t="s">
        <v>2149</v>
      </c>
      <c r="G276" s="44" t="s">
        <v>2156</v>
      </c>
      <c r="H276" s="46" t="s">
        <v>2112</v>
      </c>
      <c r="I276" s="34" t="str">
        <f>IF(ISBLANK(A276),"",VLOOKUP(A276,RELACIONES!$G$3:$H$65,2,FALSE()))</f>
        <v>Pinturas Paredes exteriores</v>
      </c>
      <c r="J276" s="35" t="str">
        <f>IF(ISBLANK(A276),"",VLOOKUP(C276,RELACIONES!$A$3:$B$70,2,FALSE))</f>
        <v>Rodillo Lana 22cm</v>
      </c>
      <c r="K276" s="40">
        <f>IF(ISBLANK(A276),"",VLOOKUP(J276,RELACIONES!$B$3:$E$83,4,FALSE)*E276)</f>
        <v>287.6666</v>
      </c>
    </row>
    <row r="277" ht="15.75" customHeight="1">
      <c r="A277" s="42" t="s">
        <v>2075</v>
      </c>
      <c r="B277" s="43" t="s">
        <v>2095</v>
      </c>
      <c r="C277" s="42" t="s">
        <v>1446</v>
      </c>
      <c r="D277" s="44" t="s">
        <v>2097</v>
      </c>
      <c r="E277" s="45">
        <v>0.025</v>
      </c>
      <c r="F277" s="44" t="s">
        <v>2149</v>
      </c>
      <c r="G277" s="44" t="s">
        <v>2156</v>
      </c>
      <c r="H277" s="46" t="s">
        <v>2112</v>
      </c>
      <c r="I277" s="34" t="str">
        <f>IF(ISBLANK(A277),"",VLOOKUP(A277,RELACIONES!$G$3:$H$65,2,FALSE()))</f>
        <v>Pinturas Paredes exteriores</v>
      </c>
      <c r="J277" s="35" t="str">
        <f>IF(ISBLANK(A277),"",VLOOKUP(C277,RELACIONES!$A$3:$B$70,2,FALSE))</f>
        <v>PINCEL N°20 (U)</v>
      </c>
      <c r="K277" s="40">
        <f>IF(ISBLANK(A277),"",VLOOKUP(J277,RELACIONES!$B$3:$E$83,4,FALSE)*E277)</f>
        <v>125</v>
      </c>
    </row>
    <row r="278" ht="15.75" customHeight="1">
      <c r="A278" s="42" t="s">
        <v>2075</v>
      </c>
      <c r="B278" s="43" t="s">
        <v>2095</v>
      </c>
      <c r="C278" s="48" t="s">
        <v>1438</v>
      </c>
      <c r="D278" s="43" t="s">
        <v>2114</v>
      </c>
      <c r="E278" s="45">
        <v>0.3333333333333333</v>
      </c>
      <c r="F278" s="44" t="s">
        <v>2149</v>
      </c>
      <c r="G278" s="44" t="s">
        <v>2156</v>
      </c>
      <c r="H278" s="46" t="s">
        <v>2112</v>
      </c>
      <c r="I278" s="34" t="str">
        <f>IF(ISBLANK(A278),"",VLOOKUP(A278,RELACIONES!$G$3:$H$65,2,FALSE()))</f>
        <v>Pinturas Paredes exteriores</v>
      </c>
      <c r="J278" s="35" t="str">
        <f>IF(ISBLANK(A278),"",VLOOKUP(C278,RELACIONES!$A$3:$B$70,2,FALSE))</f>
        <v>CARTÓN CORRUGADO (M2)</v>
      </c>
      <c r="K278" s="40">
        <f>IF(ISBLANK(A278),"",VLOOKUP(J278,RELACIONES!$B$3:$E$83,4,FALSE)*E278)</f>
        <v>173.3333333</v>
      </c>
    </row>
    <row r="279" ht="15.75" customHeight="1">
      <c r="A279" s="42" t="s">
        <v>2075</v>
      </c>
      <c r="B279" s="43" t="s">
        <v>2095</v>
      </c>
      <c r="C279" s="42" t="s">
        <v>2126</v>
      </c>
      <c r="D279" s="44" t="s">
        <v>2111</v>
      </c>
      <c r="E279" s="45">
        <v>0.5</v>
      </c>
      <c r="F279" s="44" t="s">
        <v>2149</v>
      </c>
      <c r="G279" s="44" t="s">
        <v>2156</v>
      </c>
      <c r="H279" s="46" t="s">
        <v>2112</v>
      </c>
      <c r="I279" s="34" t="str">
        <f>IF(ISBLANK(A279),"",VLOOKUP(A279,RELACIONES!$G$3:$H$65,2,FALSE()))</f>
        <v>Pinturas Paredes exteriores</v>
      </c>
      <c r="J279" s="35" t="str">
        <f>IF(ISBLANK(A279),"",VLOOKUP(C279,RELACIONES!$A$3:$B$70,2,FALSE))</f>
        <v>Cinta Papel encubrir 18 mm. x 50 mts</v>
      </c>
      <c r="K279" s="40">
        <f>IF(ISBLANK(A279),"",VLOOKUP(J279,RELACIONES!$B$3:$E$83,4,FALSE)*E279)</f>
        <v>57.5334</v>
      </c>
    </row>
    <row r="280" ht="15.75" customHeight="1">
      <c r="A280" s="36"/>
      <c r="B280" s="36"/>
      <c r="C280" s="36"/>
      <c r="D280" s="36"/>
      <c r="E280" s="37"/>
      <c r="F280" s="36"/>
      <c r="G280" s="36"/>
      <c r="H280" s="36"/>
      <c r="I280" s="34" t="str">
        <f>IF(ISBLANK(A280),"",VLOOKUP(A280,RELACIONES!$G$3:$H$65,2,FALSE()))</f>
        <v/>
      </c>
      <c r="J280" s="35" t="str">
        <f>IF(ISBLANK(A280),"",VLOOKUP(C280,RELACIONES!$A$3:$B$70,2,FALSE))</f>
        <v/>
      </c>
      <c r="K280" s="35" t="str">
        <f>IF(ISBLANK(A280),"",VLOOKUP(J280,RELACIONES!$B$3:$E$83,4,FALSE)*E280)</f>
        <v/>
      </c>
    </row>
    <row r="281" ht="15.75" customHeight="1">
      <c r="A281" s="39" t="s">
        <v>2076</v>
      </c>
      <c r="B281" s="31" t="s">
        <v>2095</v>
      </c>
      <c r="C281" s="39" t="s">
        <v>2147</v>
      </c>
      <c r="D281" s="33" t="s">
        <v>2148</v>
      </c>
      <c r="E281" s="32">
        <v>0.08</v>
      </c>
      <c r="F281" s="33" t="s">
        <v>2149</v>
      </c>
      <c r="G281" s="33" t="s">
        <v>2156</v>
      </c>
      <c r="H281" s="33" t="s">
        <v>2104</v>
      </c>
      <c r="I281" s="34" t="str">
        <f>IF(ISBLANK(A281),"",VLOOKUP(A281,RELACIONES!$G$3:$H$65,2,FALSE()))</f>
        <v>Pinturas Paredes exteriores</v>
      </c>
      <c r="J281" s="35" t="str">
        <f>IF(ISBLANK(A281),"",VLOOKUP(C281,RELACIONES!$A$3:$B$70,2,FALSE))</f>
        <v>Fijador-Sellador al Agua Alba, 20lts.</v>
      </c>
      <c r="K281" s="40">
        <f>IF(ISBLANK(A281),"",VLOOKUP(J281,RELACIONES!$B$3:$E$83,4,FALSE)*E281)</f>
        <v>835.77972</v>
      </c>
    </row>
    <row r="282" ht="15.75" customHeight="1">
      <c r="A282" s="39" t="s">
        <v>2076</v>
      </c>
      <c r="B282" s="31" t="s">
        <v>2095</v>
      </c>
      <c r="C282" s="39" t="s">
        <v>2158</v>
      </c>
      <c r="D282" s="33" t="s">
        <v>2148</v>
      </c>
      <c r="E282" s="32">
        <v>0.33</v>
      </c>
      <c r="F282" s="33" t="s">
        <v>2149</v>
      </c>
      <c r="G282" s="33" t="s">
        <v>2156</v>
      </c>
      <c r="H282" s="33" t="s">
        <v>2104</v>
      </c>
      <c r="I282" s="34" t="str">
        <f>IF(ISBLANK(A282),"",VLOOKUP(A282,RELACIONES!$G$3:$H$65,2,FALSE()))</f>
        <v>Pinturas Paredes exteriores</v>
      </c>
      <c r="J282" s="35" t="str">
        <f>IF(ISBLANK(A282),"",VLOOKUP(C282,RELACIONES!$A$3:$B$70,2,FALSE))</f>
        <v>Látex Profesional Exterior Alba</v>
      </c>
      <c r="K282" s="40">
        <f>IF(ISBLANK(A282),"",VLOOKUP(J282,RELACIONES!$B$3:$E$83,4,FALSE)*E282)</f>
        <v>5636.4759</v>
      </c>
    </row>
    <row r="283" ht="15.75" customHeight="1">
      <c r="A283" s="39" t="s">
        <v>2076</v>
      </c>
      <c r="B283" s="31" t="s">
        <v>2095</v>
      </c>
      <c r="C283" s="39" t="s">
        <v>2152</v>
      </c>
      <c r="D283" s="33" t="s">
        <v>2097</v>
      </c>
      <c r="E283" s="32">
        <v>0.02</v>
      </c>
      <c r="F283" s="33" t="s">
        <v>2149</v>
      </c>
      <c r="G283" s="33" t="s">
        <v>2156</v>
      </c>
      <c r="H283" s="41" t="s">
        <v>2112</v>
      </c>
      <c r="I283" s="34" t="str">
        <f>IF(ISBLANK(A283),"",VLOOKUP(A283,RELACIONES!$G$3:$H$65,2,FALSE()))</f>
        <v>Pinturas Paredes exteriores</v>
      </c>
      <c r="J283" s="35" t="str">
        <f>IF(ISBLANK(A283),"",VLOOKUP(C283,RELACIONES!$A$3:$B$70,2,FALSE))</f>
        <v>Rodillo Lana 22cm</v>
      </c>
      <c r="K283" s="40">
        <f>IF(ISBLANK(A283),"",VLOOKUP(J283,RELACIONES!$B$3:$E$83,4,FALSE)*E283)</f>
        <v>287.6666</v>
      </c>
    </row>
    <row r="284" ht="15.75" customHeight="1">
      <c r="A284" s="39" t="s">
        <v>2076</v>
      </c>
      <c r="B284" s="31" t="s">
        <v>2095</v>
      </c>
      <c r="C284" s="39" t="s">
        <v>1446</v>
      </c>
      <c r="D284" s="33" t="s">
        <v>2097</v>
      </c>
      <c r="E284" s="32">
        <v>0.025</v>
      </c>
      <c r="F284" s="33" t="s">
        <v>2149</v>
      </c>
      <c r="G284" s="33" t="s">
        <v>2156</v>
      </c>
      <c r="H284" s="41" t="s">
        <v>2112</v>
      </c>
      <c r="I284" s="34" t="str">
        <f>IF(ISBLANK(A284),"",VLOOKUP(A284,RELACIONES!$G$3:$H$65,2,FALSE()))</f>
        <v>Pinturas Paredes exteriores</v>
      </c>
      <c r="J284" s="35" t="str">
        <f>IF(ISBLANK(A284),"",VLOOKUP(C284,RELACIONES!$A$3:$B$70,2,FALSE))</f>
        <v>PINCEL N°20 (U)</v>
      </c>
      <c r="K284" s="40">
        <f>IF(ISBLANK(A284),"",VLOOKUP(J284,RELACIONES!$B$3:$E$83,4,FALSE)*E284)</f>
        <v>125</v>
      </c>
    </row>
    <row r="285" ht="15.75" customHeight="1">
      <c r="A285" s="39" t="s">
        <v>2076</v>
      </c>
      <c r="B285" s="31" t="s">
        <v>2095</v>
      </c>
      <c r="C285" s="47" t="s">
        <v>1438</v>
      </c>
      <c r="D285" s="31" t="s">
        <v>2114</v>
      </c>
      <c r="E285" s="32">
        <v>0.3333333333333333</v>
      </c>
      <c r="F285" s="33" t="s">
        <v>2149</v>
      </c>
      <c r="G285" s="33" t="s">
        <v>2156</v>
      </c>
      <c r="H285" s="41" t="s">
        <v>2112</v>
      </c>
      <c r="I285" s="34" t="str">
        <f>IF(ISBLANK(A285),"",VLOOKUP(A285,RELACIONES!$G$3:$H$65,2,FALSE()))</f>
        <v>Pinturas Paredes exteriores</v>
      </c>
      <c r="J285" s="35" t="str">
        <f>IF(ISBLANK(A285),"",VLOOKUP(C285,RELACIONES!$A$3:$B$70,2,FALSE))</f>
        <v>CARTÓN CORRUGADO (M2)</v>
      </c>
      <c r="K285" s="40">
        <f>IF(ISBLANK(A285),"",VLOOKUP(J285,RELACIONES!$B$3:$E$83,4,FALSE)*E285)</f>
        <v>173.3333333</v>
      </c>
    </row>
    <row r="286" ht="15.75" customHeight="1">
      <c r="A286" s="39" t="s">
        <v>2076</v>
      </c>
      <c r="B286" s="31" t="s">
        <v>2095</v>
      </c>
      <c r="C286" s="39" t="s">
        <v>2126</v>
      </c>
      <c r="D286" s="33" t="s">
        <v>2111</v>
      </c>
      <c r="E286" s="32">
        <v>0.5</v>
      </c>
      <c r="F286" s="33" t="s">
        <v>2149</v>
      </c>
      <c r="G286" s="33" t="s">
        <v>2156</v>
      </c>
      <c r="H286" s="41" t="s">
        <v>2112</v>
      </c>
      <c r="I286" s="34" t="str">
        <f>IF(ISBLANK(A286),"",VLOOKUP(A286,RELACIONES!$G$3:$H$65,2,FALSE()))</f>
        <v>Pinturas Paredes exteriores</v>
      </c>
      <c r="J286" s="35" t="str">
        <f>IF(ISBLANK(A286),"",VLOOKUP(C286,RELACIONES!$A$3:$B$70,2,FALSE))</f>
        <v>Cinta Papel encubrir 18 mm. x 50 mts</v>
      </c>
      <c r="K286" s="40">
        <f>IF(ISBLANK(A286),"",VLOOKUP(J286,RELACIONES!$B$3:$E$83,4,FALSE)*E286)</f>
        <v>57.5334</v>
      </c>
    </row>
    <row r="287" ht="15.75" customHeight="1">
      <c r="A287" s="36"/>
      <c r="B287" s="36"/>
      <c r="C287" s="36"/>
      <c r="D287" s="36"/>
      <c r="E287" s="37"/>
      <c r="F287" s="36"/>
      <c r="G287" s="36"/>
      <c r="H287" s="36"/>
      <c r="I287" s="34" t="str">
        <f>IF(ISBLANK(A287),"",VLOOKUP(A287,RELACIONES!$G$3:$H$65,2,FALSE()))</f>
        <v/>
      </c>
      <c r="J287" s="35" t="str">
        <f>IF(ISBLANK(A287),"",VLOOKUP(C287,RELACIONES!$A$3:$B$70,2,FALSE))</f>
        <v/>
      </c>
      <c r="K287" s="35" t="str">
        <f>IF(ISBLANK(A287),"",VLOOKUP(J287,RELACIONES!$B$3:$E$83,4,FALSE)*E287)</f>
        <v/>
      </c>
    </row>
    <row r="288" ht="15.75" customHeight="1">
      <c r="A288" s="42" t="s">
        <v>2077</v>
      </c>
      <c r="B288" s="43" t="s">
        <v>2095</v>
      </c>
      <c r="C288" s="42" t="s">
        <v>2159</v>
      </c>
      <c r="D288" s="44" t="s">
        <v>2148</v>
      </c>
      <c r="E288" s="45">
        <v>0.09</v>
      </c>
      <c r="F288" s="44" t="s">
        <v>2149</v>
      </c>
      <c r="G288" s="44" t="s">
        <v>2160</v>
      </c>
      <c r="H288" s="44" t="s">
        <v>2104</v>
      </c>
      <c r="I288" s="34" t="str">
        <f>IF(ISBLANK(A288),"",VLOOKUP(A288,RELACIONES!$G$3:$H$65,2,FALSE()))</f>
        <v>Pinturas Esmalte sintético s/ abertura.</v>
      </c>
      <c r="J288" s="35" t="str">
        <f>IF(ISBLANK(A288),"",VLOOKUP(C288,RELACIONES!$A$3:$B$70,2,FALSE))</f>
        <v>Fijador-Sellador al Agua Interior/Exterior Sinteplast</v>
      </c>
      <c r="K288" s="40">
        <f>IF(ISBLANK(A288),"",VLOOKUP(J288,RELACIONES!$B$3:$E$83,4,FALSE)*E288)</f>
        <v>679.6134</v>
      </c>
    </row>
    <row r="289" ht="15.75" customHeight="1">
      <c r="A289" s="42" t="s">
        <v>2077</v>
      </c>
      <c r="B289" s="43" t="s">
        <v>2095</v>
      </c>
      <c r="C289" s="42" t="s">
        <v>2161</v>
      </c>
      <c r="D289" s="44" t="s">
        <v>2148</v>
      </c>
      <c r="E289" s="45">
        <v>0.3</v>
      </c>
      <c r="F289" s="44" t="s">
        <v>2149</v>
      </c>
      <c r="G289" s="44" t="s">
        <v>2160</v>
      </c>
      <c r="H289" s="44" t="s">
        <v>2104</v>
      </c>
      <c r="I289" s="34" t="str">
        <f>IF(ISBLANK(A289),"",VLOOKUP(A289,RELACIONES!$G$3:$H$65,2,FALSE()))</f>
        <v>Pinturas Esmalte sintético s/ abertura.</v>
      </c>
      <c r="J289" s="35" t="str">
        <f>IF(ISBLANK(A289),"",VLOOKUP(C289,RELACIONES!$A$3:$B$70,2,FALSE))</f>
        <v>Esmalte Sintético Colorin, 4lts</v>
      </c>
      <c r="K289" s="40">
        <f>IF(ISBLANK(A289),"",VLOOKUP(J289,RELACIONES!$B$3:$E$83,4,FALSE)*E289)</f>
        <v>5528.601</v>
      </c>
    </row>
    <row r="290" ht="15.75" customHeight="1">
      <c r="A290" s="42" t="s">
        <v>2077</v>
      </c>
      <c r="B290" s="43" t="s">
        <v>2095</v>
      </c>
      <c r="C290" s="42" t="s">
        <v>2152</v>
      </c>
      <c r="D290" s="44" t="s">
        <v>2097</v>
      </c>
      <c r="E290" s="45">
        <v>0.02</v>
      </c>
      <c r="F290" s="44" t="s">
        <v>2149</v>
      </c>
      <c r="G290" s="44" t="s">
        <v>2160</v>
      </c>
      <c r="H290" s="46" t="s">
        <v>2112</v>
      </c>
      <c r="I290" s="34" t="str">
        <f>IF(ISBLANK(A290),"",VLOOKUP(A290,RELACIONES!$G$3:$H$65,2,FALSE()))</f>
        <v>Pinturas Esmalte sintético s/ abertura.</v>
      </c>
      <c r="J290" s="35" t="str">
        <f>IF(ISBLANK(A290),"",VLOOKUP(C290,RELACIONES!$A$3:$B$70,2,FALSE))</f>
        <v>Rodillo Lana 22cm</v>
      </c>
      <c r="K290" s="40">
        <f>IF(ISBLANK(A290),"",VLOOKUP(J290,RELACIONES!$B$3:$E$83,4,FALSE)*E290)</f>
        <v>287.6666</v>
      </c>
    </row>
    <row r="291" ht="15.75" customHeight="1">
      <c r="A291" s="42" t="s">
        <v>2077</v>
      </c>
      <c r="B291" s="43" t="s">
        <v>2095</v>
      </c>
      <c r="C291" s="42" t="s">
        <v>1447</v>
      </c>
      <c r="D291" s="44" t="s">
        <v>2097</v>
      </c>
      <c r="E291" s="45">
        <v>0.033</v>
      </c>
      <c r="F291" s="44" t="s">
        <v>2149</v>
      </c>
      <c r="G291" s="44" t="s">
        <v>2160</v>
      </c>
      <c r="H291" s="46" t="s">
        <v>2112</v>
      </c>
      <c r="I291" s="34" t="str">
        <f>IF(ISBLANK(A291),"",VLOOKUP(A291,RELACIONES!$G$3:$H$65,2,FALSE()))</f>
        <v>Pinturas Esmalte sintético s/ abertura.</v>
      </c>
      <c r="J291" s="35" t="str">
        <f>IF(ISBLANK(A291),"",VLOOKUP(C291,RELACIONES!$A$3:$B$70,2,FALSE))</f>
        <v>PINCEL N°5 (U)</v>
      </c>
      <c r="K291" s="40">
        <f>IF(ISBLANK(A291),"",VLOOKUP(J291,RELACIONES!$B$3:$E$83,4,FALSE)*E291)</f>
        <v>39.6</v>
      </c>
    </row>
    <row r="292" ht="15.75" customHeight="1">
      <c r="A292" s="42" t="s">
        <v>2077</v>
      </c>
      <c r="B292" s="43" t="s">
        <v>2095</v>
      </c>
      <c r="C292" s="42" t="s">
        <v>2138</v>
      </c>
      <c r="D292" s="44" t="s">
        <v>2097</v>
      </c>
      <c r="E292" s="45">
        <v>0.1</v>
      </c>
      <c r="F292" s="44" t="s">
        <v>2149</v>
      </c>
      <c r="G292" s="44" t="s">
        <v>2160</v>
      </c>
      <c r="H292" s="46" t="s">
        <v>2112</v>
      </c>
      <c r="I292" s="34" t="str">
        <f>IF(ISBLANK(A292),"",VLOOKUP(A292,RELACIONES!$G$3:$H$65,2,FALSE()))</f>
        <v>Pinturas Esmalte sintético s/ abertura.</v>
      </c>
      <c r="J292" s="35" t="str">
        <f>IF(ISBLANK(A292),"",VLOOKUP(C292,RELACIONES!$A$3:$B$70,2,FALSE))</f>
        <v>Lija</v>
      </c>
      <c r="K292" s="40">
        <f>IF(ISBLANK(A292),"",VLOOKUP(J292,RELACIONES!$B$3:$E$83,4,FALSE)*E292)</f>
        <v>107.875</v>
      </c>
    </row>
    <row r="293" ht="15.75" customHeight="1">
      <c r="A293" s="42" t="s">
        <v>2077</v>
      </c>
      <c r="B293" s="43" t="s">
        <v>2095</v>
      </c>
      <c r="C293" s="42" t="s">
        <v>2162</v>
      </c>
      <c r="D293" s="44" t="s">
        <v>2148</v>
      </c>
      <c r="E293" s="45">
        <v>0.05</v>
      </c>
      <c r="F293" s="44" t="s">
        <v>2149</v>
      </c>
      <c r="G293" s="44" t="s">
        <v>2160</v>
      </c>
      <c r="H293" s="46" t="s">
        <v>2112</v>
      </c>
      <c r="I293" s="34" t="str">
        <f>IF(ISBLANK(A293),"",VLOOKUP(A293,RELACIONES!$G$3:$H$65,2,FALSE()))</f>
        <v>Pinturas Esmalte sintético s/ abertura.</v>
      </c>
      <c r="J293" s="35" t="str">
        <f>IF(ISBLANK(A293),"",VLOOKUP(C293,RELACIONES!$A$3:$B$70,2,FALSE))</f>
        <v>Thinner Sinteplast, 1lt</v>
      </c>
      <c r="K293" s="40">
        <f>IF(ISBLANK(A293),"",VLOOKUP(J293,RELACIONES!$B$3:$E$83,4,FALSE)*E293)</f>
        <v>431.5005</v>
      </c>
    </row>
    <row r="294" ht="15.75" customHeight="1">
      <c r="A294" s="42" t="s">
        <v>2077</v>
      </c>
      <c r="B294" s="43" t="s">
        <v>2095</v>
      </c>
      <c r="C294" s="48" t="s">
        <v>1438</v>
      </c>
      <c r="D294" s="43" t="s">
        <v>2114</v>
      </c>
      <c r="E294" s="45">
        <v>0.3333333333333333</v>
      </c>
      <c r="F294" s="44" t="s">
        <v>2149</v>
      </c>
      <c r="G294" s="44" t="s">
        <v>2160</v>
      </c>
      <c r="H294" s="46" t="s">
        <v>2112</v>
      </c>
      <c r="I294" s="34" t="str">
        <f>IF(ISBLANK(A294),"",VLOOKUP(A294,RELACIONES!$G$3:$H$65,2,FALSE()))</f>
        <v>Pinturas Esmalte sintético s/ abertura.</v>
      </c>
      <c r="J294" s="35" t="str">
        <f>IF(ISBLANK(A294),"",VLOOKUP(C294,RELACIONES!$A$3:$B$70,2,FALSE))</f>
        <v>CARTÓN CORRUGADO (M2)</v>
      </c>
      <c r="K294" s="40">
        <f>IF(ISBLANK(A294),"",VLOOKUP(J294,RELACIONES!$B$3:$E$83,4,FALSE)*E294)</f>
        <v>173.3333333</v>
      </c>
    </row>
    <row r="295" ht="15.75" customHeight="1">
      <c r="A295" s="42" t="s">
        <v>2077</v>
      </c>
      <c r="B295" s="43" t="s">
        <v>2095</v>
      </c>
      <c r="C295" s="42" t="s">
        <v>2126</v>
      </c>
      <c r="D295" s="44" t="s">
        <v>2111</v>
      </c>
      <c r="E295" s="45">
        <v>0.5</v>
      </c>
      <c r="F295" s="44" t="s">
        <v>2149</v>
      </c>
      <c r="G295" s="44" t="s">
        <v>2160</v>
      </c>
      <c r="H295" s="46" t="s">
        <v>2112</v>
      </c>
      <c r="I295" s="34" t="str">
        <f>IF(ISBLANK(A295),"",VLOOKUP(A295,RELACIONES!$G$3:$H$65,2,FALSE()))</f>
        <v>Pinturas Esmalte sintético s/ abertura.</v>
      </c>
      <c r="J295" s="35" t="str">
        <f>IF(ISBLANK(A295),"",VLOOKUP(C295,RELACIONES!$A$3:$B$70,2,FALSE))</f>
        <v>Cinta Papel encubrir 18 mm. x 50 mts</v>
      </c>
      <c r="K295" s="40">
        <f>IF(ISBLANK(A295),"",VLOOKUP(J295,RELACIONES!$B$3:$E$83,4,FALSE)*E295)</f>
        <v>57.5334</v>
      </c>
    </row>
    <row r="296" ht="15.75" customHeight="1">
      <c r="A296" s="36"/>
      <c r="B296" s="36"/>
      <c r="C296" s="36"/>
      <c r="D296" s="36"/>
      <c r="E296" s="37"/>
      <c r="F296" s="36"/>
      <c r="G296" s="36"/>
      <c r="H296" s="36"/>
      <c r="I296" s="34" t="str">
        <f>IF(ISBLANK(A296),"",VLOOKUP(A296,RELACIONES!$G$3:$H$65,2,FALSE()))</f>
        <v/>
      </c>
      <c r="J296" s="35" t="str">
        <f>IF(ISBLANK(A296),"",VLOOKUP(C296,RELACIONES!$A$3:$B$70,2,FALSE))</f>
        <v/>
      </c>
      <c r="K296" s="35" t="str">
        <f>IF(ISBLANK(A296),"",VLOOKUP(J296,RELACIONES!$B$3:$E$83,4,FALSE)*E296)</f>
        <v/>
      </c>
    </row>
    <row r="297" ht="15.75" customHeight="1">
      <c r="A297" s="39" t="s">
        <v>2078</v>
      </c>
      <c r="B297" s="31" t="s">
        <v>2095</v>
      </c>
      <c r="C297" s="39" t="s">
        <v>2159</v>
      </c>
      <c r="D297" s="33" t="s">
        <v>2148</v>
      </c>
      <c r="E297" s="32">
        <v>0.09</v>
      </c>
      <c r="F297" s="33" t="s">
        <v>2149</v>
      </c>
      <c r="G297" s="33" t="s">
        <v>2160</v>
      </c>
      <c r="H297" s="33" t="s">
        <v>2104</v>
      </c>
      <c r="I297" s="34" t="str">
        <f>IF(ISBLANK(A297),"",VLOOKUP(A297,RELACIONES!$G$3:$H$65,2,FALSE()))</f>
        <v>Pinturas Esmalte sintético s/ abertura.</v>
      </c>
      <c r="J297" s="35" t="str">
        <f>IF(ISBLANK(A297),"",VLOOKUP(C297,RELACIONES!$A$3:$B$70,2,FALSE))</f>
        <v>Fijador-Sellador al Agua Interior/Exterior Sinteplast</v>
      </c>
      <c r="K297" s="40">
        <f>IF(ISBLANK(A297),"",VLOOKUP(J297,RELACIONES!$B$3:$E$83,4,FALSE)*E297)</f>
        <v>679.6134</v>
      </c>
    </row>
    <row r="298" ht="15.75" customHeight="1">
      <c r="A298" s="39" t="s">
        <v>2078</v>
      </c>
      <c r="B298" s="31" t="s">
        <v>2095</v>
      </c>
      <c r="C298" s="39" t="s">
        <v>2163</v>
      </c>
      <c r="D298" s="33" t="s">
        <v>2148</v>
      </c>
      <c r="E298" s="32">
        <v>0.3</v>
      </c>
      <c r="F298" s="33" t="s">
        <v>2149</v>
      </c>
      <c r="G298" s="33" t="s">
        <v>2160</v>
      </c>
      <c r="H298" s="33" t="s">
        <v>2104</v>
      </c>
      <c r="I298" s="34" t="str">
        <f>IF(ISBLANK(A298),"",VLOOKUP(A298,RELACIONES!$G$3:$H$65,2,FALSE()))</f>
        <v>Pinturas Esmalte sintético s/ abertura.</v>
      </c>
      <c r="J298" s="35" t="str">
        <f>IF(ISBLANK(A298),"",VLOOKUP(C298,RELACIONES!$A$3:$B$70,2,FALSE))</f>
        <v>Esmalte Sintético Satinado Alba, 1lt</v>
      </c>
      <c r="K298" s="40">
        <f>IF(ISBLANK(A298),"",VLOOKUP(J298,RELACIONES!$B$3:$E$83,4,FALSE)*E298)</f>
        <v>7551.258</v>
      </c>
    </row>
    <row r="299" ht="15.75" customHeight="1">
      <c r="A299" s="39" t="s">
        <v>2078</v>
      </c>
      <c r="B299" s="31" t="s">
        <v>2095</v>
      </c>
      <c r="C299" s="39" t="s">
        <v>2152</v>
      </c>
      <c r="D299" s="33" t="s">
        <v>2097</v>
      </c>
      <c r="E299" s="32">
        <v>0.02</v>
      </c>
      <c r="F299" s="33" t="s">
        <v>2149</v>
      </c>
      <c r="G299" s="33" t="s">
        <v>2160</v>
      </c>
      <c r="H299" s="41" t="s">
        <v>2112</v>
      </c>
      <c r="I299" s="34" t="str">
        <f>IF(ISBLANK(A299),"",VLOOKUP(A299,RELACIONES!$G$3:$H$65,2,FALSE()))</f>
        <v>Pinturas Esmalte sintético s/ abertura.</v>
      </c>
      <c r="J299" s="35" t="str">
        <f>IF(ISBLANK(A299),"",VLOOKUP(C299,RELACIONES!$A$3:$B$70,2,FALSE))</f>
        <v>Rodillo Lana 22cm</v>
      </c>
      <c r="K299" s="40">
        <f>IF(ISBLANK(A299),"",VLOOKUP(J299,RELACIONES!$B$3:$E$83,4,FALSE)*E299)</f>
        <v>287.6666</v>
      </c>
    </row>
    <row r="300" ht="15.75" customHeight="1">
      <c r="A300" s="39" t="s">
        <v>2078</v>
      </c>
      <c r="B300" s="31" t="s">
        <v>2095</v>
      </c>
      <c r="C300" s="39" t="s">
        <v>1447</v>
      </c>
      <c r="D300" s="33" t="s">
        <v>2097</v>
      </c>
      <c r="E300" s="32">
        <v>0.033</v>
      </c>
      <c r="F300" s="33" t="s">
        <v>2149</v>
      </c>
      <c r="G300" s="33" t="s">
        <v>2160</v>
      </c>
      <c r="H300" s="41" t="s">
        <v>2112</v>
      </c>
      <c r="I300" s="34" t="str">
        <f>IF(ISBLANK(A300),"",VLOOKUP(A300,RELACIONES!$G$3:$H$65,2,FALSE()))</f>
        <v>Pinturas Esmalte sintético s/ abertura.</v>
      </c>
      <c r="J300" s="35" t="str">
        <f>IF(ISBLANK(A300),"",VLOOKUP(C300,RELACIONES!$A$3:$B$70,2,FALSE))</f>
        <v>PINCEL N°5 (U)</v>
      </c>
      <c r="K300" s="40">
        <f>IF(ISBLANK(A300),"",VLOOKUP(J300,RELACIONES!$B$3:$E$83,4,FALSE)*E300)</f>
        <v>39.6</v>
      </c>
    </row>
    <row r="301" ht="15.75" customHeight="1">
      <c r="A301" s="39" t="s">
        <v>2078</v>
      </c>
      <c r="B301" s="31" t="s">
        <v>2095</v>
      </c>
      <c r="C301" s="39" t="s">
        <v>2138</v>
      </c>
      <c r="D301" s="33" t="s">
        <v>2097</v>
      </c>
      <c r="E301" s="32">
        <v>0.1</v>
      </c>
      <c r="F301" s="33" t="s">
        <v>2149</v>
      </c>
      <c r="G301" s="33" t="s">
        <v>2160</v>
      </c>
      <c r="H301" s="41" t="s">
        <v>2112</v>
      </c>
      <c r="I301" s="34" t="str">
        <f>IF(ISBLANK(A301),"",VLOOKUP(A301,RELACIONES!$G$3:$H$65,2,FALSE()))</f>
        <v>Pinturas Esmalte sintético s/ abertura.</v>
      </c>
      <c r="J301" s="35" t="str">
        <f>IF(ISBLANK(A301),"",VLOOKUP(C301,RELACIONES!$A$3:$B$70,2,FALSE))</f>
        <v>Lija</v>
      </c>
      <c r="K301" s="40">
        <f>IF(ISBLANK(A301),"",VLOOKUP(J301,RELACIONES!$B$3:$E$83,4,FALSE)*E301)</f>
        <v>107.875</v>
      </c>
    </row>
    <row r="302" ht="15.75" customHeight="1">
      <c r="A302" s="39" t="s">
        <v>2078</v>
      </c>
      <c r="B302" s="31" t="s">
        <v>2095</v>
      </c>
      <c r="C302" s="39" t="s">
        <v>2162</v>
      </c>
      <c r="D302" s="33" t="s">
        <v>2148</v>
      </c>
      <c r="E302" s="32">
        <v>0.05</v>
      </c>
      <c r="F302" s="33" t="s">
        <v>2149</v>
      </c>
      <c r="G302" s="33" t="s">
        <v>2160</v>
      </c>
      <c r="H302" s="41" t="s">
        <v>2112</v>
      </c>
      <c r="I302" s="34" t="str">
        <f>IF(ISBLANK(A302),"",VLOOKUP(A302,RELACIONES!$G$3:$H$65,2,FALSE()))</f>
        <v>Pinturas Esmalte sintético s/ abertura.</v>
      </c>
      <c r="J302" s="35" t="str">
        <f>IF(ISBLANK(A302),"",VLOOKUP(C302,RELACIONES!$A$3:$B$70,2,FALSE))</f>
        <v>Thinner Sinteplast, 1lt</v>
      </c>
      <c r="K302" s="40">
        <f>IF(ISBLANK(A302),"",VLOOKUP(J302,RELACIONES!$B$3:$E$83,4,FALSE)*E302)</f>
        <v>431.5005</v>
      </c>
    </row>
    <row r="303" ht="15.75" customHeight="1">
      <c r="A303" s="39" t="s">
        <v>2078</v>
      </c>
      <c r="B303" s="31" t="s">
        <v>2095</v>
      </c>
      <c r="C303" s="47" t="s">
        <v>1438</v>
      </c>
      <c r="D303" s="31" t="s">
        <v>2114</v>
      </c>
      <c r="E303" s="32">
        <v>0.3333333333333333</v>
      </c>
      <c r="F303" s="33" t="s">
        <v>2149</v>
      </c>
      <c r="G303" s="33" t="s">
        <v>2160</v>
      </c>
      <c r="H303" s="41" t="s">
        <v>2112</v>
      </c>
      <c r="I303" s="34" t="str">
        <f>IF(ISBLANK(A303),"",VLOOKUP(A303,RELACIONES!$G$3:$H$65,2,FALSE()))</f>
        <v>Pinturas Esmalte sintético s/ abertura.</v>
      </c>
      <c r="J303" s="35" t="str">
        <f>IF(ISBLANK(A303),"",VLOOKUP(C303,RELACIONES!$A$3:$B$70,2,FALSE))</f>
        <v>CARTÓN CORRUGADO (M2)</v>
      </c>
      <c r="K303" s="40">
        <f>IF(ISBLANK(A303),"",VLOOKUP(J303,RELACIONES!$B$3:$E$83,4,FALSE)*E303)</f>
        <v>173.3333333</v>
      </c>
    </row>
    <row r="304" ht="15.75" customHeight="1">
      <c r="A304" s="39" t="s">
        <v>2078</v>
      </c>
      <c r="B304" s="31" t="s">
        <v>2095</v>
      </c>
      <c r="C304" s="39" t="s">
        <v>2126</v>
      </c>
      <c r="D304" s="33" t="s">
        <v>2111</v>
      </c>
      <c r="E304" s="32">
        <v>0.5</v>
      </c>
      <c r="F304" s="33" t="s">
        <v>2149</v>
      </c>
      <c r="G304" s="33" t="s">
        <v>2160</v>
      </c>
      <c r="H304" s="41" t="s">
        <v>2112</v>
      </c>
      <c r="I304" s="34" t="str">
        <f>IF(ISBLANK(A304),"",VLOOKUP(A304,RELACIONES!$G$3:$H$65,2,FALSE()))</f>
        <v>Pinturas Esmalte sintético s/ abertura.</v>
      </c>
      <c r="J304" s="35" t="str">
        <f>IF(ISBLANK(A304),"",VLOOKUP(C304,RELACIONES!$A$3:$B$70,2,FALSE))</f>
        <v>Cinta Papel encubrir 18 mm. x 50 mts</v>
      </c>
      <c r="K304" s="40">
        <f>IF(ISBLANK(A304),"",VLOOKUP(J304,RELACIONES!$B$3:$E$83,4,FALSE)*E304)</f>
        <v>57.5334</v>
      </c>
    </row>
    <row r="305" ht="15.75" customHeight="1">
      <c r="A305" s="36"/>
      <c r="B305" s="36"/>
      <c r="C305" s="36"/>
      <c r="D305" s="36"/>
      <c r="E305" s="37"/>
      <c r="F305" s="36"/>
      <c r="G305" s="36"/>
      <c r="H305" s="36"/>
      <c r="I305" s="34" t="str">
        <f>IF(ISBLANK(A305),"",VLOOKUP(A305,RELACIONES!$G$3:$H$65,2,FALSE()))</f>
        <v/>
      </c>
      <c r="J305" s="35" t="str">
        <f>IF(ISBLANK(A305),"",VLOOKUP(C305,RELACIONES!$A$3:$B$70,2,FALSE))</f>
        <v/>
      </c>
      <c r="K305" s="35" t="str">
        <f>IF(ISBLANK(A305),"",VLOOKUP(J305,RELACIONES!$B$3:$E$83,4,FALSE)*E305)</f>
        <v/>
      </c>
    </row>
    <row r="306" ht="15.75" customHeight="1">
      <c r="A306" s="42" t="s">
        <v>2079</v>
      </c>
      <c r="B306" s="43" t="s">
        <v>2095</v>
      </c>
      <c r="C306" s="42" t="s">
        <v>2159</v>
      </c>
      <c r="D306" s="44" t="s">
        <v>2148</v>
      </c>
      <c r="E306" s="45">
        <v>0.09</v>
      </c>
      <c r="F306" s="44" t="s">
        <v>2149</v>
      </c>
      <c r="G306" s="44" t="s">
        <v>2164</v>
      </c>
      <c r="H306" s="44" t="s">
        <v>2104</v>
      </c>
      <c r="I306" s="34" t="str">
        <f>IF(ISBLANK(A306),"",VLOOKUP(A306,RELACIONES!$G$3:$H$65,2,FALSE()))</f>
        <v>Pinturas Esmalte sintético s/ abertura.</v>
      </c>
      <c r="J306" s="35" t="str">
        <f>IF(ISBLANK(A306),"",VLOOKUP(C306,RELACIONES!$A$3:$B$70,2,FALSE))</f>
        <v>Fijador-Sellador al Agua Interior/Exterior Sinteplast</v>
      </c>
      <c r="K306" s="40">
        <f>IF(ISBLANK(A306),"",VLOOKUP(J306,RELACIONES!$B$3:$E$83,4,FALSE)*E306)</f>
        <v>679.6134</v>
      </c>
    </row>
    <row r="307" ht="15.75" customHeight="1">
      <c r="A307" s="42" t="s">
        <v>2079</v>
      </c>
      <c r="B307" s="43" t="s">
        <v>2095</v>
      </c>
      <c r="C307" s="42" t="s">
        <v>2161</v>
      </c>
      <c r="D307" s="44" t="s">
        <v>2148</v>
      </c>
      <c r="E307" s="45">
        <v>0.3</v>
      </c>
      <c r="F307" s="44" t="s">
        <v>2149</v>
      </c>
      <c r="G307" s="44" t="s">
        <v>2164</v>
      </c>
      <c r="H307" s="44" t="s">
        <v>2104</v>
      </c>
      <c r="I307" s="34" t="str">
        <f>IF(ISBLANK(A307),"",VLOOKUP(A307,RELACIONES!$G$3:$H$65,2,FALSE()))</f>
        <v>Pinturas Esmalte sintético s/ abertura.</v>
      </c>
      <c r="J307" s="35" t="str">
        <f>IF(ISBLANK(A307),"",VLOOKUP(C307,RELACIONES!$A$3:$B$70,2,FALSE))</f>
        <v>Esmalte Sintético Colorin, 4lts</v>
      </c>
      <c r="K307" s="40">
        <f>IF(ISBLANK(A307),"",VLOOKUP(J307,RELACIONES!$B$3:$E$83,4,FALSE)*E307)</f>
        <v>5528.601</v>
      </c>
    </row>
    <row r="308" ht="15.75" customHeight="1">
      <c r="A308" s="42" t="s">
        <v>2079</v>
      </c>
      <c r="B308" s="43" t="s">
        <v>2095</v>
      </c>
      <c r="C308" s="42" t="s">
        <v>1447</v>
      </c>
      <c r="D308" s="44" t="s">
        <v>2097</v>
      </c>
      <c r="E308" s="45">
        <v>0.05</v>
      </c>
      <c r="F308" s="44" t="s">
        <v>2149</v>
      </c>
      <c r="G308" s="44" t="s">
        <v>2164</v>
      </c>
      <c r="H308" s="46" t="s">
        <v>2112</v>
      </c>
      <c r="I308" s="34" t="str">
        <f>IF(ISBLANK(A308),"",VLOOKUP(A308,RELACIONES!$G$3:$H$65,2,FALSE()))</f>
        <v>Pinturas Esmalte sintético s/ abertura.</v>
      </c>
      <c r="J308" s="35" t="str">
        <f>IF(ISBLANK(A308),"",VLOOKUP(C308,RELACIONES!$A$3:$B$70,2,FALSE))</f>
        <v>PINCEL N°5 (U)</v>
      </c>
      <c r="K308" s="40">
        <f>IF(ISBLANK(A308),"",VLOOKUP(J308,RELACIONES!$B$3:$E$83,4,FALSE)*E308)</f>
        <v>60</v>
      </c>
    </row>
    <row r="309" ht="15.75" customHeight="1">
      <c r="A309" s="42" t="s">
        <v>2079</v>
      </c>
      <c r="B309" s="43" t="s">
        <v>2095</v>
      </c>
      <c r="C309" s="42" t="s">
        <v>2138</v>
      </c>
      <c r="D309" s="44" t="s">
        <v>2097</v>
      </c>
      <c r="E309" s="45">
        <v>0.125</v>
      </c>
      <c r="F309" s="44" t="s">
        <v>2149</v>
      </c>
      <c r="G309" s="44" t="s">
        <v>2164</v>
      </c>
      <c r="H309" s="46" t="s">
        <v>2112</v>
      </c>
      <c r="I309" s="34" t="str">
        <f>IF(ISBLANK(A309),"",VLOOKUP(A309,RELACIONES!$G$3:$H$65,2,FALSE()))</f>
        <v>Pinturas Esmalte sintético s/ abertura.</v>
      </c>
      <c r="J309" s="35" t="str">
        <f>IF(ISBLANK(A309),"",VLOOKUP(C309,RELACIONES!$A$3:$B$70,2,FALSE))</f>
        <v>Lija</v>
      </c>
      <c r="K309" s="40">
        <f>IF(ISBLANK(A309),"",VLOOKUP(J309,RELACIONES!$B$3:$E$83,4,FALSE)*E309)</f>
        <v>134.84375</v>
      </c>
    </row>
    <row r="310" ht="15.75" customHeight="1">
      <c r="A310" s="42" t="s">
        <v>2079</v>
      </c>
      <c r="B310" s="43" t="s">
        <v>2095</v>
      </c>
      <c r="C310" s="42" t="s">
        <v>2162</v>
      </c>
      <c r="D310" s="44" t="s">
        <v>2148</v>
      </c>
      <c r="E310" s="45">
        <v>0.05</v>
      </c>
      <c r="F310" s="44" t="s">
        <v>2149</v>
      </c>
      <c r="G310" s="44" t="s">
        <v>2164</v>
      </c>
      <c r="H310" s="46" t="s">
        <v>2112</v>
      </c>
      <c r="I310" s="34" t="str">
        <f>IF(ISBLANK(A310),"",VLOOKUP(A310,RELACIONES!$G$3:$H$65,2,FALSE()))</f>
        <v>Pinturas Esmalte sintético s/ abertura.</v>
      </c>
      <c r="J310" s="35" t="str">
        <f>IF(ISBLANK(A310),"",VLOOKUP(C310,RELACIONES!$A$3:$B$70,2,FALSE))</f>
        <v>Thinner Sinteplast, 1lt</v>
      </c>
      <c r="K310" s="40">
        <f>IF(ISBLANK(A310),"",VLOOKUP(J310,RELACIONES!$B$3:$E$83,4,FALSE)*E310)</f>
        <v>431.5005</v>
      </c>
    </row>
    <row r="311" ht="15.75" customHeight="1">
      <c r="A311" s="42" t="s">
        <v>2079</v>
      </c>
      <c r="B311" s="43" t="s">
        <v>2095</v>
      </c>
      <c r="C311" s="48" t="s">
        <v>1438</v>
      </c>
      <c r="D311" s="43" t="s">
        <v>2114</v>
      </c>
      <c r="E311" s="45">
        <v>0.3333333333333333</v>
      </c>
      <c r="F311" s="44" t="s">
        <v>2149</v>
      </c>
      <c r="G311" s="44" t="s">
        <v>2164</v>
      </c>
      <c r="H311" s="46" t="s">
        <v>2112</v>
      </c>
      <c r="I311" s="34" t="str">
        <f>IF(ISBLANK(A311),"",VLOOKUP(A311,RELACIONES!$G$3:$H$65,2,FALSE()))</f>
        <v>Pinturas Esmalte sintético s/ abertura.</v>
      </c>
      <c r="J311" s="35" t="str">
        <f>IF(ISBLANK(A311),"",VLOOKUP(C311,RELACIONES!$A$3:$B$70,2,FALSE))</f>
        <v>CARTÓN CORRUGADO (M2)</v>
      </c>
      <c r="K311" s="40">
        <f>IF(ISBLANK(A311),"",VLOOKUP(J311,RELACIONES!$B$3:$E$83,4,FALSE)*E311)</f>
        <v>173.3333333</v>
      </c>
    </row>
    <row r="312" ht="15.75" customHeight="1">
      <c r="A312" s="42" t="s">
        <v>2079</v>
      </c>
      <c r="B312" s="43" t="s">
        <v>2095</v>
      </c>
      <c r="C312" s="42" t="s">
        <v>2126</v>
      </c>
      <c r="D312" s="44" t="s">
        <v>2111</v>
      </c>
      <c r="E312" s="45">
        <v>0.5</v>
      </c>
      <c r="F312" s="44" t="s">
        <v>2149</v>
      </c>
      <c r="G312" s="44" t="s">
        <v>2164</v>
      </c>
      <c r="H312" s="46" t="s">
        <v>2112</v>
      </c>
      <c r="I312" s="34" t="str">
        <f>IF(ISBLANK(A312),"",VLOOKUP(A312,RELACIONES!$G$3:$H$65,2,FALSE()))</f>
        <v>Pinturas Esmalte sintético s/ abertura.</v>
      </c>
      <c r="J312" s="35" t="str">
        <f>IF(ISBLANK(A312),"",VLOOKUP(C312,RELACIONES!$A$3:$B$70,2,FALSE))</f>
        <v>Cinta Papel encubrir 18 mm. x 50 mts</v>
      </c>
      <c r="K312" s="40">
        <f>IF(ISBLANK(A312),"",VLOOKUP(J312,RELACIONES!$B$3:$E$83,4,FALSE)*E312)</f>
        <v>57.5334</v>
      </c>
    </row>
    <row r="313" ht="15.75" customHeight="1">
      <c r="A313" s="36"/>
      <c r="B313" s="36"/>
      <c r="C313" s="36"/>
      <c r="D313" s="36"/>
      <c r="E313" s="37"/>
      <c r="F313" s="36"/>
      <c r="G313" s="36"/>
      <c r="H313" s="36"/>
      <c r="I313" s="34" t="str">
        <f>IF(ISBLANK(A313),"",VLOOKUP(A313,RELACIONES!$G$3:$H$65,2,FALSE()))</f>
        <v/>
      </c>
      <c r="J313" s="35" t="str">
        <f>IF(ISBLANK(A313),"",VLOOKUP(C313,RELACIONES!$A$3:$B$70,2,FALSE))</f>
        <v/>
      </c>
      <c r="K313" s="35" t="str">
        <f>IF(ISBLANK(A313),"",VLOOKUP(J313,RELACIONES!$B$3:$E$83,4,FALSE)*E313)</f>
        <v/>
      </c>
    </row>
    <row r="314" ht="15.75" customHeight="1">
      <c r="A314" s="39" t="s">
        <v>2080</v>
      </c>
      <c r="B314" s="31" t="s">
        <v>2095</v>
      </c>
      <c r="C314" s="39" t="s">
        <v>2159</v>
      </c>
      <c r="D314" s="33" t="s">
        <v>2148</v>
      </c>
      <c r="E314" s="32">
        <v>0.09</v>
      </c>
      <c r="F314" s="33" t="s">
        <v>2149</v>
      </c>
      <c r="G314" s="33" t="s">
        <v>2164</v>
      </c>
      <c r="H314" s="33" t="s">
        <v>2104</v>
      </c>
      <c r="I314" s="34" t="str">
        <f>IF(ISBLANK(A314),"",VLOOKUP(A314,RELACIONES!$G$3:$H$65,2,FALSE()))</f>
        <v>Pinturas Esmalte sintético s/ abertura.</v>
      </c>
      <c r="J314" s="35" t="str">
        <f>IF(ISBLANK(A314),"",VLOOKUP(C314,RELACIONES!$A$3:$B$70,2,FALSE))</f>
        <v>Fijador-Sellador al Agua Interior/Exterior Sinteplast</v>
      </c>
      <c r="K314" s="40">
        <f>IF(ISBLANK(A314),"",VLOOKUP(J314,RELACIONES!$B$3:$E$83,4,FALSE)*E314)</f>
        <v>679.6134</v>
      </c>
    </row>
    <row r="315" ht="15.75" customHeight="1">
      <c r="A315" s="39" t="s">
        <v>2080</v>
      </c>
      <c r="B315" s="31" t="s">
        <v>2095</v>
      </c>
      <c r="C315" s="39" t="s">
        <v>2163</v>
      </c>
      <c r="D315" s="33" t="s">
        <v>2148</v>
      </c>
      <c r="E315" s="32">
        <v>0.3</v>
      </c>
      <c r="F315" s="33" t="s">
        <v>2149</v>
      </c>
      <c r="G315" s="33" t="s">
        <v>2164</v>
      </c>
      <c r="H315" s="33" t="s">
        <v>2104</v>
      </c>
      <c r="I315" s="34" t="str">
        <f>IF(ISBLANK(A315),"",VLOOKUP(A315,RELACIONES!$G$3:$H$65,2,FALSE()))</f>
        <v>Pinturas Esmalte sintético s/ abertura.</v>
      </c>
      <c r="J315" s="35" t="str">
        <f>IF(ISBLANK(A315),"",VLOOKUP(C315,RELACIONES!$A$3:$B$70,2,FALSE))</f>
        <v>Esmalte Sintético Satinado Alba, 1lt</v>
      </c>
      <c r="K315" s="40">
        <f>IF(ISBLANK(A315),"",VLOOKUP(J315,RELACIONES!$B$3:$E$83,4,FALSE)*E315)</f>
        <v>7551.258</v>
      </c>
    </row>
    <row r="316" ht="15.75" customHeight="1">
      <c r="A316" s="39" t="s">
        <v>2080</v>
      </c>
      <c r="B316" s="31" t="s">
        <v>2095</v>
      </c>
      <c r="C316" s="39" t="s">
        <v>1447</v>
      </c>
      <c r="D316" s="33" t="s">
        <v>2097</v>
      </c>
      <c r="E316" s="32">
        <v>0.05</v>
      </c>
      <c r="F316" s="33" t="s">
        <v>2149</v>
      </c>
      <c r="G316" s="33" t="s">
        <v>2164</v>
      </c>
      <c r="H316" s="41" t="s">
        <v>2112</v>
      </c>
      <c r="I316" s="34" t="str">
        <f>IF(ISBLANK(A316),"",VLOOKUP(A316,RELACIONES!$G$3:$H$65,2,FALSE()))</f>
        <v>Pinturas Esmalte sintético s/ abertura.</v>
      </c>
      <c r="J316" s="35" t="str">
        <f>IF(ISBLANK(A316),"",VLOOKUP(C316,RELACIONES!$A$3:$B$70,2,FALSE))</f>
        <v>PINCEL N°5 (U)</v>
      </c>
      <c r="K316" s="40">
        <f>IF(ISBLANK(A316),"",VLOOKUP(J316,RELACIONES!$B$3:$E$83,4,FALSE)*E316)</f>
        <v>60</v>
      </c>
    </row>
    <row r="317" ht="15.75" customHeight="1">
      <c r="A317" s="39" t="s">
        <v>2080</v>
      </c>
      <c r="B317" s="31" t="s">
        <v>2095</v>
      </c>
      <c r="C317" s="39" t="s">
        <v>2138</v>
      </c>
      <c r="D317" s="33" t="s">
        <v>2097</v>
      </c>
      <c r="E317" s="32">
        <v>0.125</v>
      </c>
      <c r="F317" s="33" t="s">
        <v>2149</v>
      </c>
      <c r="G317" s="33" t="s">
        <v>2164</v>
      </c>
      <c r="H317" s="41" t="s">
        <v>2112</v>
      </c>
      <c r="I317" s="34" t="str">
        <f>IF(ISBLANK(A317),"",VLOOKUP(A317,RELACIONES!$G$3:$H$65,2,FALSE()))</f>
        <v>Pinturas Esmalte sintético s/ abertura.</v>
      </c>
      <c r="J317" s="35" t="str">
        <f>IF(ISBLANK(A317),"",VLOOKUP(C317,RELACIONES!$A$3:$B$70,2,FALSE))</f>
        <v>Lija</v>
      </c>
      <c r="K317" s="40">
        <f>IF(ISBLANK(A317),"",VLOOKUP(J317,RELACIONES!$B$3:$E$83,4,FALSE)*E317)</f>
        <v>134.84375</v>
      </c>
    </row>
    <row r="318" ht="15.75" customHeight="1">
      <c r="A318" s="39" t="s">
        <v>2080</v>
      </c>
      <c r="B318" s="31" t="s">
        <v>2095</v>
      </c>
      <c r="C318" s="39" t="s">
        <v>2162</v>
      </c>
      <c r="D318" s="33" t="s">
        <v>2148</v>
      </c>
      <c r="E318" s="32">
        <v>0.05</v>
      </c>
      <c r="F318" s="33" t="s">
        <v>2149</v>
      </c>
      <c r="G318" s="33" t="s">
        <v>2164</v>
      </c>
      <c r="H318" s="41" t="s">
        <v>2112</v>
      </c>
      <c r="I318" s="34" t="str">
        <f>IF(ISBLANK(A318),"",VLOOKUP(A318,RELACIONES!$G$3:$H$65,2,FALSE()))</f>
        <v>Pinturas Esmalte sintético s/ abertura.</v>
      </c>
      <c r="J318" s="35" t="str">
        <f>IF(ISBLANK(A318),"",VLOOKUP(C318,RELACIONES!$A$3:$B$70,2,FALSE))</f>
        <v>Thinner Sinteplast, 1lt</v>
      </c>
      <c r="K318" s="40">
        <f>IF(ISBLANK(A318),"",VLOOKUP(J318,RELACIONES!$B$3:$E$83,4,FALSE)*E318)</f>
        <v>431.5005</v>
      </c>
    </row>
    <row r="319" ht="15.75" customHeight="1">
      <c r="A319" s="39" t="s">
        <v>2080</v>
      </c>
      <c r="B319" s="31" t="s">
        <v>2095</v>
      </c>
      <c r="C319" s="47" t="s">
        <v>1438</v>
      </c>
      <c r="D319" s="31" t="s">
        <v>2114</v>
      </c>
      <c r="E319" s="32">
        <v>0.3333333333333333</v>
      </c>
      <c r="F319" s="33" t="s">
        <v>2149</v>
      </c>
      <c r="G319" s="33" t="s">
        <v>2164</v>
      </c>
      <c r="H319" s="41" t="s">
        <v>2112</v>
      </c>
      <c r="I319" s="34" t="str">
        <f>IF(ISBLANK(A319),"",VLOOKUP(A319,RELACIONES!$G$3:$H$65,2,FALSE()))</f>
        <v>Pinturas Esmalte sintético s/ abertura.</v>
      </c>
      <c r="J319" s="35" t="str">
        <f>IF(ISBLANK(A319),"",VLOOKUP(C319,RELACIONES!$A$3:$B$70,2,FALSE))</f>
        <v>CARTÓN CORRUGADO (M2)</v>
      </c>
      <c r="K319" s="40">
        <f>IF(ISBLANK(A319),"",VLOOKUP(J319,RELACIONES!$B$3:$E$83,4,FALSE)*E319)</f>
        <v>173.3333333</v>
      </c>
    </row>
    <row r="320" ht="15.75" customHeight="1">
      <c r="A320" s="39" t="s">
        <v>2080</v>
      </c>
      <c r="B320" s="31" t="s">
        <v>2095</v>
      </c>
      <c r="C320" s="39" t="s">
        <v>2126</v>
      </c>
      <c r="D320" s="33" t="s">
        <v>2111</v>
      </c>
      <c r="E320" s="32">
        <v>0.5</v>
      </c>
      <c r="F320" s="33" t="s">
        <v>2149</v>
      </c>
      <c r="G320" s="33" t="s">
        <v>2164</v>
      </c>
      <c r="H320" s="41" t="s">
        <v>2112</v>
      </c>
      <c r="I320" s="34" t="str">
        <f>IF(ISBLANK(A320),"",VLOOKUP(A320,RELACIONES!$G$3:$H$65,2,FALSE()))</f>
        <v>Pinturas Esmalte sintético s/ abertura.</v>
      </c>
      <c r="J320" s="35" t="str">
        <f>IF(ISBLANK(A320),"",VLOOKUP(C320,RELACIONES!$A$3:$B$70,2,FALSE))</f>
        <v>Cinta Papel encubrir 18 mm. x 50 mts</v>
      </c>
      <c r="K320" s="40">
        <f>IF(ISBLANK(A320),"",VLOOKUP(J320,RELACIONES!$B$3:$E$83,4,FALSE)*E320)</f>
        <v>57.5334</v>
      </c>
    </row>
    <row r="321" ht="15.75" customHeight="1">
      <c r="A321" s="36"/>
      <c r="B321" s="36"/>
      <c r="C321" s="36"/>
      <c r="D321" s="36"/>
      <c r="E321" s="37"/>
      <c r="F321" s="36"/>
      <c r="G321" s="36"/>
      <c r="H321" s="36"/>
      <c r="I321" s="34" t="str">
        <f>IF(ISBLANK(A321),"",VLOOKUP(A321,RELACIONES!$G$3:$H$65,2,FALSE()))</f>
        <v/>
      </c>
      <c r="J321" s="35" t="str">
        <f>IF(ISBLANK(A321),"",VLOOKUP(C321,RELACIONES!$A$3:$B$70,2,FALSE))</f>
        <v/>
      </c>
      <c r="K321" s="35" t="str">
        <f>IF(ISBLANK(A321),"",VLOOKUP(J321,RELACIONES!$B$3:$E$83,4,FALSE)*E321)</f>
        <v/>
      </c>
    </row>
    <row r="322" ht="15.75" customHeight="1">
      <c r="A322" s="42" t="s">
        <v>2081</v>
      </c>
      <c r="B322" s="43" t="s">
        <v>2095</v>
      </c>
      <c r="C322" s="42" t="s">
        <v>2165</v>
      </c>
      <c r="D322" s="44" t="s">
        <v>2148</v>
      </c>
      <c r="E322" s="45">
        <v>0.1</v>
      </c>
      <c r="F322" s="44" t="s">
        <v>2149</v>
      </c>
      <c r="G322" s="44" t="s">
        <v>2164</v>
      </c>
      <c r="H322" s="44" t="s">
        <v>2104</v>
      </c>
      <c r="I322" s="34" t="str">
        <f>IF(ISBLANK(A322),"",VLOOKUP(A322,RELACIONES!$G$3:$H$65,2,FALSE()))</f>
        <v>Pinturas Esmalte sintético s/ abertura.</v>
      </c>
      <c r="J322" s="35" t="str">
        <f>IF(ISBLANK(A322),"",VLOOKUP(C322,RELACIONES!$A$3:$B$70,2,FALSE))</f>
        <v>Convertidor de Oxido Blanco Venier, 1lt</v>
      </c>
      <c r="K322" s="40">
        <f>IF(ISBLANK(A322),"",VLOOKUP(J322,RELACIONES!$B$3:$E$83,4,FALSE)*E322)</f>
        <v>1887.812</v>
      </c>
    </row>
    <row r="323" ht="15.75" customHeight="1">
      <c r="A323" s="42" t="s">
        <v>2081</v>
      </c>
      <c r="B323" s="43" t="s">
        <v>2095</v>
      </c>
      <c r="C323" s="42" t="s">
        <v>2161</v>
      </c>
      <c r="D323" s="44" t="s">
        <v>2148</v>
      </c>
      <c r="E323" s="45">
        <v>0.3</v>
      </c>
      <c r="F323" s="44" t="s">
        <v>2149</v>
      </c>
      <c r="G323" s="44" t="s">
        <v>2164</v>
      </c>
      <c r="H323" s="44" t="s">
        <v>2104</v>
      </c>
      <c r="I323" s="34" t="str">
        <f>IF(ISBLANK(A323),"",VLOOKUP(A323,RELACIONES!$G$3:$H$65,2,FALSE()))</f>
        <v>Pinturas Esmalte sintético s/ abertura.</v>
      </c>
      <c r="J323" s="35" t="str">
        <f>IF(ISBLANK(A323),"",VLOOKUP(C323,RELACIONES!$A$3:$B$70,2,FALSE))</f>
        <v>Esmalte Sintético Colorin, 4lts</v>
      </c>
      <c r="K323" s="40">
        <f>IF(ISBLANK(A323),"",VLOOKUP(J323,RELACIONES!$B$3:$E$83,4,FALSE)*E323)</f>
        <v>5528.601</v>
      </c>
    </row>
    <row r="324" ht="15.75" customHeight="1">
      <c r="A324" s="42" t="s">
        <v>2081</v>
      </c>
      <c r="B324" s="43" t="s">
        <v>2095</v>
      </c>
      <c r="C324" s="42" t="s">
        <v>1447</v>
      </c>
      <c r="D324" s="44" t="s">
        <v>2097</v>
      </c>
      <c r="E324" s="45">
        <v>0.05</v>
      </c>
      <c r="F324" s="44" t="s">
        <v>2149</v>
      </c>
      <c r="G324" s="44" t="s">
        <v>2164</v>
      </c>
      <c r="H324" s="46" t="s">
        <v>2112</v>
      </c>
      <c r="I324" s="34" t="str">
        <f>IF(ISBLANK(A324),"",VLOOKUP(A324,RELACIONES!$G$3:$H$65,2,FALSE()))</f>
        <v>Pinturas Esmalte sintético s/ abertura.</v>
      </c>
      <c r="J324" s="35" t="str">
        <f>IF(ISBLANK(A324),"",VLOOKUP(C324,RELACIONES!$A$3:$B$70,2,FALSE))</f>
        <v>PINCEL N°5 (U)</v>
      </c>
      <c r="K324" s="40">
        <f>IF(ISBLANK(A324),"",VLOOKUP(J324,RELACIONES!$B$3:$E$83,4,FALSE)*E324)</f>
        <v>60</v>
      </c>
    </row>
    <row r="325" ht="15.75" customHeight="1">
      <c r="A325" s="42" t="s">
        <v>2081</v>
      </c>
      <c r="B325" s="43" t="s">
        <v>2095</v>
      </c>
      <c r="C325" s="42" t="s">
        <v>2138</v>
      </c>
      <c r="D325" s="44" t="s">
        <v>2097</v>
      </c>
      <c r="E325" s="45">
        <v>0.125</v>
      </c>
      <c r="F325" s="44" t="s">
        <v>2149</v>
      </c>
      <c r="G325" s="44" t="s">
        <v>2164</v>
      </c>
      <c r="H325" s="46" t="s">
        <v>2112</v>
      </c>
      <c r="I325" s="34" t="str">
        <f>IF(ISBLANK(A325),"",VLOOKUP(A325,RELACIONES!$G$3:$H$65,2,FALSE()))</f>
        <v>Pinturas Esmalte sintético s/ abertura.</v>
      </c>
      <c r="J325" s="35" t="str">
        <f>IF(ISBLANK(A325),"",VLOOKUP(C325,RELACIONES!$A$3:$B$70,2,FALSE))</f>
        <v>Lija</v>
      </c>
      <c r="K325" s="40">
        <f>IF(ISBLANK(A325),"",VLOOKUP(J325,RELACIONES!$B$3:$E$83,4,FALSE)*E325)</f>
        <v>134.84375</v>
      </c>
    </row>
    <row r="326" ht="15.75" customHeight="1">
      <c r="A326" s="42" t="s">
        <v>2081</v>
      </c>
      <c r="B326" s="43" t="s">
        <v>2095</v>
      </c>
      <c r="C326" s="42" t="s">
        <v>2162</v>
      </c>
      <c r="D326" s="44" t="s">
        <v>2148</v>
      </c>
      <c r="E326" s="45">
        <v>0.05</v>
      </c>
      <c r="F326" s="44" t="s">
        <v>2149</v>
      </c>
      <c r="G326" s="44" t="s">
        <v>2164</v>
      </c>
      <c r="H326" s="46" t="s">
        <v>2112</v>
      </c>
      <c r="I326" s="34" t="str">
        <f>IF(ISBLANK(A326),"",VLOOKUP(A326,RELACIONES!$G$3:$H$65,2,FALSE()))</f>
        <v>Pinturas Esmalte sintético s/ abertura.</v>
      </c>
      <c r="J326" s="35" t="str">
        <f>IF(ISBLANK(A326),"",VLOOKUP(C326,RELACIONES!$A$3:$B$70,2,FALSE))</f>
        <v>Thinner Sinteplast, 1lt</v>
      </c>
      <c r="K326" s="40">
        <f>IF(ISBLANK(A326),"",VLOOKUP(J326,RELACIONES!$B$3:$E$83,4,FALSE)*E326)</f>
        <v>431.5005</v>
      </c>
    </row>
    <row r="327" ht="15.75" customHeight="1">
      <c r="A327" s="42" t="s">
        <v>2081</v>
      </c>
      <c r="B327" s="43" t="s">
        <v>2095</v>
      </c>
      <c r="C327" s="48" t="s">
        <v>1438</v>
      </c>
      <c r="D327" s="43" t="s">
        <v>2114</v>
      </c>
      <c r="E327" s="45">
        <v>0.3333333333333333</v>
      </c>
      <c r="F327" s="44" t="s">
        <v>2149</v>
      </c>
      <c r="G327" s="44" t="s">
        <v>2164</v>
      </c>
      <c r="H327" s="46" t="s">
        <v>2112</v>
      </c>
      <c r="I327" s="34" t="str">
        <f>IF(ISBLANK(A327),"",VLOOKUP(A327,RELACIONES!$G$3:$H$65,2,FALSE()))</f>
        <v>Pinturas Esmalte sintético s/ abertura.</v>
      </c>
      <c r="J327" s="35" t="str">
        <f>IF(ISBLANK(A327),"",VLOOKUP(C327,RELACIONES!$A$3:$B$70,2,FALSE))</f>
        <v>CARTÓN CORRUGADO (M2)</v>
      </c>
      <c r="K327" s="40">
        <f>IF(ISBLANK(A327),"",VLOOKUP(J327,RELACIONES!$B$3:$E$83,4,FALSE)*E327)</f>
        <v>173.3333333</v>
      </c>
    </row>
    <row r="328" ht="15.75" customHeight="1">
      <c r="A328" s="42" t="s">
        <v>2081</v>
      </c>
      <c r="B328" s="43" t="s">
        <v>2095</v>
      </c>
      <c r="C328" s="42" t="s">
        <v>2126</v>
      </c>
      <c r="D328" s="44" t="s">
        <v>2111</v>
      </c>
      <c r="E328" s="45">
        <v>0.5</v>
      </c>
      <c r="F328" s="44" t="s">
        <v>2149</v>
      </c>
      <c r="G328" s="44" t="s">
        <v>2164</v>
      </c>
      <c r="H328" s="46" t="s">
        <v>2112</v>
      </c>
      <c r="I328" s="34" t="str">
        <f>IF(ISBLANK(A328),"",VLOOKUP(A328,RELACIONES!$G$3:$H$65,2,FALSE()))</f>
        <v>Pinturas Esmalte sintético s/ abertura.</v>
      </c>
      <c r="J328" s="35" t="str">
        <f>IF(ISBLANK(A328),"",VLOOKUP(C328,RELACIONES!$A$3:$B$70,2,FALSE))</f>
        <v>Cinta Papel encubrir 18 mm. x 50 mts</v>
      </c>
      <c r="K328" s="40">
        <f>IF(ISBLANK(A328),"",VLOOKUP(J328,RELACIONES!$B$3:$E$83,4,FALSE)*E328)</f>
        <v>57.5334</v>
      </c>
    </row>
    <row r="329" ht="15.75" customHeight="1">
      <c r="A329" s="36"/>
      <c r="B329" s="36"/>
      <c r="C329" s="36"/>
      <c r="D329" s="36"/>
      <c r="E329" s="37"/>
      <c r="F329" s="36"/>
      <c r="G329" s="36"/>
      <c r="H329" s="36"/>
      <c r="I329" s="34" t="str">
        <f>IF(ISBLANK(A329),"",VLOOKUP(A329,RELACIONES!$G$3:$H$65,2,FALSE()))</f>
        <v/>
      </c>
      <c r="J329" s="35" t="str">
        <f>IF(ISBLANK(A329),"",VLOOKUP(C329,RELACIONES!$A$3:$B$70,2,FALSE))</f>
        <v/>
      </c>
      <c r="K329" s="35" t="str">
        <f>IF(ISBLANK(A329),"",VLOOKUP(J329,RELACIONES!$B$3:$E$83,4,FALSE)*E329)</f>
        <v/>
      </c>
    </row>
    <row r="330" ht="15.75" customHeight="1">
      <c r="A330" s="39" t="s">
        <v>2082</v>
      </c>
      <c r="B330" s="31" t="s">
        <v>2095</v>
      </c>
      <c r="C330" s="39" t="s">
        <v>2165</v>
      </c>
      <c r="D330" s="33" t="s">
        <v>2148</v>
      </c>
      <c r="E330" s="32">
        <v>0.1</v>
      </c>
      <c r="F330" s="33" t="s">
        <v>2149</v>
      </c>
      <c r="G330" s="33" t="s">
        <v>2164</v>
      </c>
      <c r="H330" s="33" t="s">
        <v>2104</v>
      </c>
      <c r="I330" s="34" t="str">
        <f>IF(ISBLANK(A330),"",VLOOKUP(A330,RELACIONES!$G$3:$H$65,2,FALSE()))</f>
        <v>Pinturas Esmalte sintético s/ abertura.</v>
      </c>
      <c r="J330" s="35" t="str">
        <f>IF(ISBLANK(A330),"",VLOOKUP(C330,RELACIONES!$A$3:$B$70,2,FALSE))</f>
        <v>Convertidor de Oxido Blanco Venier, 1lt</v>
      </c>
      <c r="K330" s="40">
        <f>IF(ISBLANK(A330),"",VLOOKUP(J330,RELACIONES!$B$3:$E$83,4,FALSE)*E330)</f>
        <v>1887.812</v>
      </c>
    </row>
    <row r="331" ht="15.75" customHeight="1">
      <c r="A331" s="39" t="s">
        <v>2082</v>
      </c>
      <c r="B331" s="31" t="s">
        <v>2095</v>
      </c>
      <c r="C331" s="39" t="s">
        <v>2163</v>
      </c>
      <c r="D331" s="33" t="s">
        <v>2148</v>
      </c>
      <c r="E331" s="32">
        <v>0.3</v>
      </c>
      <c r="F331" s="33" t="s">
        <v>2149</v>
      </c>
      <c r="G331" s="33" t="s">
        <v>2164</v>
      </c>
      <c r="H331" s="33" t="s">
        <v>2104</v>
      </c>
      <c r="I331" s="34" t="str">
        <f>IF(ISBLANK(A331),"",VLOOKUP(A331,RELACIONES!$G$3:$H$65,2,FALSE()))</f>
        <v>Pinturas Esmalte sintético s/ abertura.</v>
      </c>
      <c r="J331" s="35" t="str">
        <f>IF(ISBLANK(A331),"",VLOOKUP(C331,RELACIONES!$A$3:$B$70,2,FALSE))</f>
        <v>Esmalte Sintético Satinado Alba, 1lt</v>
      </c>
      <c r="K331" s="40">
        <f>IF(ISBLANK(A331),"",VLOOKUP(J331,RELACIONES!$B$3:$E$83,4,FALSE)*E331)</f>
        <v>7551.258</v>
      </c>
    </row>
    <row r="332" ht="15.75" customHeight="1">
      <c r="A332" s="39" t="s">
        <v>2082</v>
      </c>
      <c r="B332" s="31" t="s">
        <v>2095</v>
      </c>
      <c r="C332" s="39" t="s">
        <v>1447</v>
      </c>
      <c r="D332" s="33" t="s">
        <v>2097</v>
      </c>
      <c r="E332" s="32">
        <v>0.05</v>
      </c>
      <c r="F332" s="33" t="s">
        <v>2149</v>
      </c>
      <c r="G332" s="33" t="s">
        <v>2164</v>
      </c>
      <c r="H332" s="41" t="s">
        <v>2112</v>
      </c>
      <c r="I332" s="34" t="str">
        <f>IF(ISBLANK(A332),"",VLOOKUP(A332,RELACIONES!$G$3:$H$65,2,FALSE()))</f>
        <v>Pinturas Esmalte sintético s/ abertura.</v>
      </c>
      <c r="J332" s="35" t="str">
        <f>IF(ISBLANK(A332),"",VLOOKUP(C332,RELACIONES!$A$3:$B$70,2,FALSE))</f>
        <v>PINCEL N°5 (U)</v>
      </c>
      <c r="K332" s="40">
        <f>IF(ISBLANK(A332),"",VLOOKUP(J332,RELACIONES!$B$3:$E$83,4,FALSE)*E332)</f>
        <v>60</v>
      </c>
    </row>
    <row r="333" ht="15.75" customHeight="1">
      <c r="A333" s="39" t="s">
        <v>2082</v>
      </c>
      <c r="B333" s="31" t="s">
        <v>2095</v>
      </c>
      <c r="C333" s="39" t="s">
        <v>2138</v>
      </c>
      <c r="D333" s="33" t="s">
        <v>2097</v>
      </c>
      <c r="E333" s="32">
        <v>0.125</v>
      </c>
      <c r="F333" s="33" t="s">
        <v>2149</v>
      </c>
      <c r="G333" s="33" t="s">
        <v>2164</v>
      </c>
      <c r="H333" s="41" t="s">
        <v>2112</v>
      </c>
      <c r="I333" s="34" t="str">
        <f>IF(ISBLANK(A333),"",VLOOKUP(A333,RELACIONES!$G$3:$H$65,2,FALSE()))</f>
        <v>Pinturas Esmalte sintético s/ abertura.</v>
      </c>
      <c r="J333" s="35" t="str">
        <f>IF(ISBLANK(A333),"",VLOOKUP(C333,RELACIONES!$A$3:$B$70,2,FALSE))</f>
        <v>Lija</v>
      </c>
      <c r="K333" s="40">
        <f>IF(ISBLANK(A333),"",VLOOKUP(J333,RELACIONES!$B$3:$E$83,4,FALSE)*E333)</f>
        <v>134.84375</v>
      </c>
    </row>
    <row r="334" ht="15.75" customHeight="1">
      <c r="A334" s="39" t="s">
        <v>2082</v>
      </c>
      <c r="B334" s="31" t="s">
        <v>2095</v>
      </c>
      <c r="C334" s="39" t="s">
        <v>2162</v>
      </c>
      <c r="D334" s="33" t="s">
        <v>2148</v>
      </c>
      <c r="E334" s="32">
        <v>0.05</v>
      </c>
      <c r="F334" s="33" t="s">
        <v>2149</v>
      </c>
      <c r="G334" s="33" t="s">
        <v>2164</v>
      </c>
      <c r="H334" s="41" t="s">
        <v>2112</v>
      </c>
      <c r="I334" s="34" t="str">
        <f>IF(ISBLANK(A334),"",VLOOKUP(A334,RELACIONES!$G$3:$H$65,2,FALSE()))</f>
        <v>Pinturas Esmalte sintético s/ abertura.</v>
      </c>
      <c r="J334" s="35" t="str">
        <f>IF(ISBLANK(A334),"",VLOOKUP(C334,RELACIONES!$A$3:$B$70,2,FALSE))</f>
        <v>Thinner Sinteplast, 1lt</v>
      </c>
      <c r="K334" s="40">
        <f>IF(ISBLANK(A334),"",VLOOKUP(J334,RELACIONES!$B$3:$E$83,4,FALSE)*E334)</f>
        <v>431.5005</v>
      </c>
    </row>
    <row r="335" ht="15.75" customHeight="1">
      <c r="A335" s="39" t="s">
        <v>2082</v>
      </c>
      <c r="B335" s="31" t="s">
        <v>2095</v>
      </c>
      <c r="C335" s="47" t="s">
        <v>1438</v>
      </c>
      <c r="D335" s="31" t="s">
        <v>2114</v>
      </c>
      <c r="E335" s="32">
        <v>0.3333333333333333</v>
      </c>
      <c r="F335" s="33" t="s">
        <v>2149</v>
      </c>
      <c r="G335" s="33" t="s">
        <v>2164</v>
      </c>
      <c r="H335" s="41" t="s">
        <v>2112</v>
      </c>
      <c r="I335" s="34" t="str">
        <f>IF(ISBLANK(A335),"",VLOOKUP(A335,RELACIONES!$G$3:$H$65,2,FALSE()))</f>
        <v>Pinturas Esmalte sintético s/ abertura.</v>
      </c>
      <c r="J335" s="35" t="str">
        <f>IF(ISBLANK(A335),"",VLOOKUP(C335,RELACIONES!$A$3:$B$70,2,FALSE))</f>
        <v>CARTÓN CORRUGADO (M2)</v>
      </c>
      <c r="K335" s="40">
        <f>IF(ISBLANK(A335),"",VLOOKUP(J335,RELACIONES!$B$3:$E$83,4,FALSE)*E335)</f>
        <v>173.3333333</v>
      </c>
    </row>
    <row r="336" ht="15.75" customHeight="1">
      <c r="A336" s="39" t="s">
        <v>2082</v>
      </c>
      <c r="B336" s="31" t="s">
        <v>2095</v>
      </c>
      <c r="C336" s="39" t="s">
        <v>2126</v>
      </c>
      <c r="D336" s="33" t="s">
        <v>2111</v>
      </c>
      <c r="E336" s="32">
        <v>0.5</v>
      </c>
      <c r="F336" s="33" t="s">
        <v>2149</v>
      </c>
      <c r="G336" s="33" t="s">
        <v>2164</v>
      </c>
      <c r="H336" s="41" t="s">
        <v>2112</v>
      </c>
      <c r="I336" s="34" t="str">
        <f>IF(ISBLANK(A336),"",VLOOKUP(A336,RELACIONES!$G$3:$H$65,2,FALSE()))</f>
        <v>Pinturas Esmalte sintético s/ abertura.</v>
      </c>
      <c r="J336" s="35" t="str">
        <f>IF(ISBLANK(A336),"",VLOOKUP(C336,RELACIONES!$A$3:$B$70,2,FALSE))</f>
        <v>Cinta Papel encubrir 18 mm. x 50 mts</v>
      </c>
      <c r="K336" s="40">
        <f>IF(ISBLANK(A336),"",VLOOKUP(J336,RELACIONES!$B$3:$E$83,4,FALSE)*E336)</f>
        <v>57.5334</v>
      </c>
    </row>
    <row r="337" ht="15.75" customHeight="1">
      <c r="A337" s="36"/>
      <c r="B337" s="36"/>
      <c r="C337" s="36"/>
      <c r="D337" s="36"/>
      <c r="E337" s="37"/>
      <c r="F337" s="36"/>
      <c r="G337" s="36"/>
      <c r="H337" s="36"/>
      <c r="I337" s="34" t="str">
        <f>IF(ISBLANK(A337),"",VLOOKUP(A337,RELACIONES!$G$3:$H$65,2,FALSE()))</f>
        <v/>
      </c>
      <c r="J337" s="35" t="str">
        <f>IF(ISBLANK(A337),"",VLOOKUP(C337,RELACIONES!$A$3:$B$70,2,FALSE))</f>
        <v/>
      </c>
      <c r="K337" s="35" t="str">
        <f>IF(ISBLANK(A337),"",VLOOKUP(J337,RELACIONES!$B$3:$E$83,4,FALSE)*E337)</f>
        <v/>
      </c>
    </row>
    <row r="338" ht="15.75" customHeight="1">
      <c r="A338" s="49" t="s">
        <v>2083</v>
      </c>
      <c r="B338" s="43" t="s">
        <v>2095</v>
      </c>
      <c r="C338" s="42" t="s">
        <v>2147</v>
      </c>
      <c r="D338" s="44" t="s">
        <v>2148</v>
      </c>
      <c r="E338" s="45">
        <v>0.08</v>
      </c>
      <c r="F338" s="44" t="s">
        <v>2149</v>
      </c>
      <c r="G338" s="44" t="s">
        <v>2166</v>
      </c>
      <c r="H338" s="44" t="s">
        <v>2104</v>
      </c>
      <c r="I338" s="34" t="str">
        <f>IF(ISBLANK(A338),"",VLOOKUP(A338,RELACIONES!$G$3:$H$65,2,FALSE()))</f>
        <v>Revestimientos Texturado Texturado 1 Travertino/Rulato (Fino)</v>
      </c>
      <c r="J338" s="35" t="str">
        <f>IF(ISBLANK(A338),"",VLOOKUP(C338,RELACIONES!$A$3:$B$70,2,FALSE))</f>
        <v>Fijador-Sellador al Agua Alba, 20lts.</v>
      </c>
      <c r="K338" s="40">
        <f>IF(ISBLANK(A338),"",VLOOKUP(J338,RELACIONES!$B$3:$E$83,4,FALSE)*E338)</f>
        <v>835.77972</v>
      </c>
    </row>
    <row r="339" ht="15.75" customHeight="1">
      <c r="A339" s="49" t="s">
        <v>2083</v>
      </c>
      <c r="B339" s="43" t="s">
        <v>2095</v>
      </c>
      <c r="C339" s="42" t="s">
        <v>2167</v>
      </c>
      <c r="D339" s="44" t="s">
        <v>2148</v>
      </c>
      <c r="E339" s="45">
        <v>0.5</v>
      </c>
      <c r="F339" s="44" t="s">
        <v>2149</v>
      </c>
      <c r="G339" s="44" t="s">
        <v>2166</v>
      </c>
      <c r="H339" s="44" t="s">
        <v>2104</v>
      </c>
      <c r="I339" s="34" t="str">
        <f>IF(ISBLANK(A339),"",VLOOKUP(A339,RELACIONES!$G$3:$H$65,2,FALSE()))</f>
        <v>Revestimientos Texturado Texturado 1 Travertino/Rulato (Fino)</v>
      </c>
      <c r="J339" s="35" t="str">
        <f>IF(ISBLANK(A339),"",VLOOKUP(C339,RELACIONES!$A$3:$B$70,2,FALSE))</f>
        <v>Revestimiento Revear Texturado Travertino/Rulato Fino x 25kg.</v>
      </c>
      <c r="K339" s="40">
        <f>IF(ISBLANK(A339),"",VLOOKUP(J339,RELACIONES!$B$3:$E$83,4,FALSE)*E339)</f>
        <v>3443.7348</v>
      </c>
    </row>
    <row r="340" ht="15.75" customHeight="1">
      <c r="A340" s="49" t="s">
        <v>2083</v>
      </c>
      <c r="B340" s="43" t="s">
        <v>2095</v>
      </c>
      <c r="C340" s="42" t="s">
        <v>2152</v>
      </c>
      <c r="D340" s="44" t="s">
        <v>2097</v>
      </c>
      <c r="E340" s="45">
        <v>0.033</v>
      </c>
      <c r="F340" s="44" t="s">
        <v>2149</v>
      </c>
      <c r="G340" s="44" t="s">
        <v>2166</v>
      </c>
      <c r="H340" s="46" t="s">
        <v>2112</v>
      </c>
      <c r="I340" s="34" t="str">
        <f>IF(ISBLANK(A340),"",VLOOKUP(A340,RELACIONES!$G$3:$H$65,2,FALSE()))</f>
        <v>Revestimientos Texturado Texturado 1 Travertino/Rulato (Fino)</v>
      </c>
      <c r="J340" s="35" t="str">
        <f>IF(ISBLANK(A340),"",VLOOKUP(C340,RELACIONES!$A$3:$B$70,2,FALSE))</f>
        <v>Rodillo Lana 22cm</v>
      </c>
      <c r="K340" s="40">
        <f>IF(ISBLANK(A340),"",VLOOKUP(J340,RELACIONES!$B$3:$E$83,4,FALSE)*E340)</f>
        <v>474.64989</v>
      </c>
    </row>
    <row r="341" ht="15.75" customHeight="1">
      <c r="A341" s="49" t="s">
        <v>2083</v>
      </c>
      <c r="B341" s="43" t="s">
        <v>2095</v>
      </c>
      <c r="C341" s="48" t="s">
        <v>1438</v>
      </c>
      <c r="D341" s="43" t="s">
        <v>2114</v>
      </c>
      <c r="E341" s="45">
        <v>0.3333333333333333</v>
      </c>
      <c r="F341" s="44" t="s">
        <v>2149</v>
      </c>
      <c r="G341" s="44" t="s">
        <v>2166</v>
      </c>
      <c r="H341" s="46" t="s">
        <v>2112</v>
      </c>
      <c r="I341" s="34" t="str">
        <f>IF(ISBLANK(A341),"",VLOOKUP(A341,RELACIONES!$G$3:$H$65,2,FALSE()))</f>
        <v>Revestimientos Texturado Texturado 1 Travertino/Rulato (Fino)</v>
      </c>
      <c r="J341" s="35" t="str">
        <f>IF(ISBLANK(A341),"",VLOOKUP(C341,RELACIONES!$A$3:$B$70,2,FALSE))</f>
        <v>CARTÓN CORRUGADO (M2)</v>
      </c>
      <c r="K341" s="40">
        <f>IF(ISBLANK(A341),"",VLOOKUP(J341,RELACIONES!$B$3:$E$83,4,FALSE)*E341)</f>
        <v>173.3333333</v>
      </c>
    </row>
    <row r="342" ht="15.75" customHeight="1">
      <c r="A342" s="49" t="s">
        <v>2083</v>
      </c>
      <c r="B342" s="43" t="s">
        <v>2095</v>
      </c>
      <c r="C342" s="42" t="s">
        <v>2126</v>
      </c>
      <c r="D342" s="44" t="s">
        <v>2111</v>
      </c>
      <c r="E342" s="45">
        <v>0.3</v>
      </c>
      <c r="F342" s="44" t="s">
        <v>2149</v>
      </c>
      <c r="G342" s="44" t="s">
        <v>2166</v>
      </c>
      <c r="H342" s="46" t="s">
        <v>2112</v>
      </c>
      <c r="I342" s="34" t="str">
        <f>IF(ISBLANK(A342),"",VLOOKUP(A342,RELACIONES!$G$3:$H$65,2,FALSE()))</f>
        <v>Revestimientos Texturado Texturado 1 Travertino/Rulato (Fino)</v>
      </c>
      <c r="J342" s="35" t="str">
        <f>IF(ISBLANK(A342),"",VLOOKUP(C342,RELACIONES!$A$3:$B$70,2,FALSE))</f>
        <v>Cinta Papel encubrir 18 mm. x 50 mts</v>
      </c>
      <c r="K342" s="40">
        <f>IF(ISBLANK(A342),"",VLOOKUP(J342,RELACIONES!$B$3:$E$83,4,FALSE)*E342)</f>
        <v>34.52004</v>
      </c>
    </row>
    <row r="343" ht="15.75" customHeight="1">
      <c r="A343" s="36"/>
      <c r="B343" s="36"/>
      <c r="C343" s="36"/>
      <c r="D343" s="36"/>
      <c r="E343" s="37"/>
      <c r="F343" s="36"/>
      <c r="G343" s="36"/>
      <c r="H343" s="36"/>
      <c r="I343" s="34" t="str">
        <f>IF(ISBLANK(A343),"",VLOOKUP(A343,RELACIONES!$G$3:$H$65,2,FALSE()))</f>
        <v/>
      </c>
      <c r="J343" s="35" t="str">
        <f>IF(ISBLANK(A343),"",VLOOKUP(C343,RELACIONES!$A$3:$B$70,2,FALSE))</f>
        <v/>
      </c>
      <c r="K343" s="35" t="str">
        <f>IF(ISBLANK(A343),"",VLOOKUP(J343,RELACIONES!$B$3:$E$83,4,FALSE)*E343)</f>
        <v/>
      </c>
    </row>
    <row r="344" ht="15.75" customHeight="1">
      <c r="A344" s="39" t="s">
        <v>2084</v>
      </c>
      <c r="B344" s="31" t="s">
        <v>2095</v>
      </c>
      <c r="C344" s="39" t="s">
        <v>2147</v>
      </c>
      <c r="D344" s="33" t="s">
        <v>2148</v>
      </c>
      <c r="E344" s="32">
        <v>0.08</v>
      </c>
      <c r="F344" s="33" t="s">
        <v>2149</v>
      </c>
      <c r="G344" s="33" t="s">
        <v>2166</v>
      </c>
      <c r="H344" s="33" t="s">
        <v>2104</v>
      </c>
      <c r="I344" s="34" t="str">
        <f>IF(ISBLANK(A344),"",VLOOKUP(A344,RELACIONES!$G$3:$H$65,2,FALSE()))</f>
        <v>Revestimientos Texturado Texturado 3 Travertino/Rulato (Grueso)</v>
      </c>
      <c r="J344" s="35" t="str">
        <f>IF(ISBLANK(A344),"",VLOOKUP(C344,RELACIONES!$A$3:$B$70,2,FALSE))</f>
        <v>Fijador-Sellador al Agua Alba, 20lts.</v>
      </c>
      <c r="K344" s="40">
        <f>IF(ISBLANK(A344),"",VLOOKUP(J344,RELACIONES!$B$3:$E$83,4,FALSE)*E344)</f>
        <v>835.77972</v>
      </c>
    </row>
    <row r="345" ht="15.75" customHeight="1">
      <c r="A345" s="39" t="s">
        <v>2084</v>
      </c>
      <c r="B345" s="31" t="s">
        <v>2095</v>
      </c>
      <c r="C345" s="39" t="s">
        <v>2168</v>
      </c>
      <c r="D345" s="33" t="s">
        <v>2148</v>
      </c>
      <c r="E345" s="32">
        <v>0.7</v>
      </c>
      <c r="F345" s="33" t="s">
        <v>2149</v>
      </c>
      <c r="G345" s="33" t="s">
        <v>2166</v>
      </c>
      <c r="H345" s="33" t="s">
        <v>2104</v>
      </c>
      <c r="I345" s="34" t="str">
        <f>IF(ISBLANK(A345),"",VLOOKUP(A345,RELACIONES!$G$3:$H$65,2,FALSE()))</f>
        <v>Revestimientos Texturado Texturado 3 Travertino/Rulato (Grueso)</v>
      </c>
      <c r="J345" s="35" t="str">
        <f>IF(ISBLANK(A345),"",VLOOKUP(C345,RELACIONES!$A$3:$B$70,2,FALSE))</f>
        <v>Revestimiento Tarquini Texturado Travertino/Rulato Grueso x 20kg.</v>
      </c>
      <c r="K345" s="40">
        <f>IF(ISBLANK(A345),"",VLOOKUP(J345,RELACIONES!$B$3:$E$83,4,FALSE)*E345)</f>
        <v>5165.60275</v>
      </c>
    </row>
    <row r="346" ht="15.75" customHeight="1">
      <c r="A346" s="39" t="s">
        <v>2084</v>
      </c>
      <c r="B346" s="31" t="s">
        <v>2095</v>
      </c>
      <c r="C346" s="39" t="s">
        <v>2152</v>
      </c>
      <c r="D346" s="33" t="s">
        <v>2097</v>
      </c>
      <c r="E346" s="32">
        <v>0.033</v>
      </c>
      <c r="F346" s="33" t="s">
        <v>2149</v>
      </c>
      <c r="G346" s="33" t="s">
        <v>2166</v>
      </c>
      <c r="H346" s="41" t="s">
        <v>2112</v>
      </c>
      <c r="I346" s="34" t="str">
        <f>IF(ISBLANK(A346),"",VLOOKUP(A346,RELACIONES!$G$3:$H$65,2,FALSE()))</f>
        <v>Revestimientos Texturado Texturado 3 Travertino/Rulato (Grueso)</v>
      </c>
      <c r="J346" s="35" t="str">
        <f>IF(ISBLANK(A346),"",VLOOKUP(C346,RELACIONES!$A$3:$B$70,2,FALSE))</f>
        <v>Rodillo Lana 22cm</v>
      </c>
      <c r="K346" s="40">
        <f>IF(ISBLANK(A346),"",VLOOKUP(J346,RELACIONES!$B$3:$E$83,4,FALSE)*E346)</f>
        <v>474.64989</v>
      </c>
    </row>
    <row r="347" ht="15.75" customHeight="1">
      <c r="A347" s="39" t="s">
        <v>2084</v>
      </c>
      <c r="B347" s="31" t="s">
        <v>2095</v>
      </c>
      <c r="C347" s="47" t="s">
        <v>1438</v>
      </c>
      <c r="D347" s="31" t="s">
        <v>2114</v>
      </c>
      <c r="E347" s="32">
        <v>0.3333333333333333</v>
      </c>
      <c r="F347" s="33" t="s">
        <v>2149</v>
      </c>
      <c r="G347" s="33" t="s">
        <v>2166</v>
      </c>
      <c r="H347" s="41" t="s">
        <v>2112</v>
      </c>
      <c r="I347" s="34" t="str">
        <f>IF(ISBLANK(A347),"",VLOOKUP(A347,RELACIONES!$G$3:$H$65,2,FALSE()))</f>
        <v>Revestimientos Texturado Texturado 3 Travertino/Rulato (Grueso)</v>
      </c>
      <c r="J347" s="35" t="str">
        <f>IF(ISBLANK(A347),"",VLOOKUP(C347,RELACIONES!$A$3:$B$70,2,FALSE))</f>
        <v>CARTÓN CORRUGADO (M2)</v>
      </c>
      <c r="K347" s="40">
        <f>IF(ISBLANK(A347),"",VLOOKUP(J347,RELACIONES!$B$3:$E$83,4,FALSE)*E347)</f>
        <v>173.3333333</v>
      </c>
    </row>
    <row r="348" ht="15.75" customHeight="1">
      <c r="A348" s="39" t="s">
        <v>2084</v>
      </c>
      <c r="B348" s="31" t="s">
        <v>2095</v>
      </c>
      <c r="C348" s="39" t="s">
        <v>2126</v>
      </c>
      <c r="D348" s="33" t="s">
        <v>2111</v>
      </c>
      <c r="E348" s="32">
        <v>0.3</v>
      </c>
      <c r="F348" s="33" t="s">
        <v>2149</v>
      </c>
      <c r="G348" s="33" t="s">
        <v>2166</v>
      </c>
      <c r="H348" s="41" t="s">
        <v>2112</v>
      </c>
      <c r="I348" s="34" t="str">
        <f>IF(ISBLANK(A348),"",VLOOKUP(A348,RELACIONES!$G$3:$H$65,2,FALSE()))</f>
        <v>Revestimientos Texturado Texturado 3 Travertino/Rulato (Grueso)</v>
      </c>
      <c r="J348" s="35" t="str">
        <f>IF(ISBLANK(A348),"",VLOOKUP(C348,RELACIONES!$A$3:$B$70,2,FALSE))</f>
        <v>Cinta Papel encubrir 18 mm. x 50 mts</v>
      </c>
      <c r="K348" s="40">
        <f>IF(ISBLANK(A348),"",VLOOKUP(J348,RELACIONES!$B$3:$E$83,4,FALSE)*E348)</f>
        <v>34.52004</v>
      </c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34" t="str">
        <f>IF(ISBLANK(A349),"",VLOOKUP(A349,RELACIONES!$G$3:$H$65,2,FALSE()))</f>
        <v/>
      </c>
      <c r="J349" s="35" t="str">
        <f>IF(ISBLANK(A349),"",VLOOKUP(C349,RELACIONES!$A$3:$B$70,2,FALSE))</f>
        <v/>
      </c>
      <c r="K349" s="35" t="str">
        <f>IF(ISBLANK(A349),"",VLOOKUP(J349,RELACIONES!$B$3:$E$83,4,FALSE)*E349)</f>
        <v/>
      </c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34" t="str">
        <f>IF(ISBLANK(A350),"",VLOOKUP(A350,RELACIONES!$G$3:$H$65,2,FALSE()))</f>
        <v/>
      </c>
      <c r="J350" s="35" t="str">
        <f>IF(ISBLANK(A350),"",VLOOKUP(C350,RELACIONES!$A$3:$B$70,2,FALSE))</f>
        <v/>
      </c>
      <c r="K350" s="35" t="str">
        <f>IF(ISBLANK(A350),"",VLOOKUP(J350,RELACIONES!$B$3:$E$83,4,FALSE)*E350)</f>
        <v/>
      </c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34" t="str">
        <f>IF(ISBLANK(A351),"",VLOOKUP(A351,RELACIONES!$G$3:$H$65,2,FALSE()))</f>
        <v/>
      </c>
      <c r="J351" s="35" t="str">
        <f>IF(ISBLANK(A351),"",VLOOKUP(C351,RELACIONES!$A$3:$B$70,2,FALSE))</f>
        <v/>
      </c>
      <c r="K351" s="35" t="str">
        <f>IF(ISBLANK(A351),"",VLOOKUP(J351,RELACIONES!$B$3:$E$83,4,FALSE)*E351)</f>
        <v/>
      </c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34" t="str">
        <f>IF(ISBLANK(A352),"",VLOOKUP(A352,RELACIONES!$G$3:$H$65,2,FALSE()))</f>
        <v/>
      </c>
      <c r="J352" s="35" t="str">
        <f>IF(ISBLANK(A352),"",VLOOKUP(C352,RELACIONES!$A$3:$B$70,2,FALSE))</f>
        <v/>
      </c>
      <c r="K352" s="35" t="str">
        <f>IF(ISBLANK(A352),"",VLOOKUP(J352,RELACIONES!$B$3:$E$83,4,FALSE)*E352)</f>
        <v/>
      </c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34" t="str">
        <f>IF(ISBLANK(A353),"",VLOOKUP(A353,RELACIONES!$G$3:$H$65,2,FALSE()))</f>
        <v/>
      </c>
      <c r="J353" s="35" t="str">
        <f>IF(ISBLANK(A353),"",VLOOKUP(C353,RELACIONES!$A$3:$B$70,2,FALSE))</f>
        <v/>
      </c>
      <c r="K353" s="35" t="str">
        <f>IF(ISBLANK(A353),"",VLOOKUP(J353,RELACIONES!$B$3:$E$83,4,FALSE)*E353)</f>
        <v/>
      </c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34" t="str">
        <f>IF(ISBLANK(A354),"",VLOOKUP(A354,RELACIONES!$G$3:$H$65,2,FALSE()))</f>
        <v/>
      </c>
      <c r="J354" s="35" t="str">
        <f>IF(ISBLANK(A354),"",VLOOKUP(C354,RELACIONES!$A$3:$B$70,2,FALSE))</f>
        <v/>
      </c>
      <c r="K354" s="35" t="str">
        <f>IF(ISBLANK(A354),"",VLOOKUP(J354,RELACIONES!$B$3:$E$83,4,FALSE)*E354)</f>
        <v/>
      </c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34" t="str">
        <f>IF(ISBLANK(A355),"",VLOOKUP(A355,RELACIONES!$G$3:$H$65,2,FALSE()))</f>
        <v/>
      </c>
      <c r="J355" s="35" t="str">
        <f>IF(ISBLANK(A355),"",VLOOKUP(C355,RELACIONES!$A$3:$B$70,2,FALSE))</f>
        <v/>
      </c>
      <c r="K355" s="35" t="str">
        <f>IF(ISBLANK(A355),"",VLOOKUP(J355,RELACIONES!$B$3:$E$83,4,FALSE)*E355)</f>
        <v/>
      </c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34" t="str">
        <f>IF(ISBLANK(A356),"",VLOOKUP(A356,RELACIONES!$G$3:$H$65,2,FALSE()))</f>
        <v/>
      </c>
      <c r="J356" s="35" t="str">
        <f>IF(ISBLANK(A356),"",VLOOKUP(C356,RELACIONES!$A$3:$B$70,2,FALSE))</f>
        <v/>
      </c>
      <c r="K356" s="35" t="str">
        <f>IF(ISBLANK(A356),"",VLOOKUP(J356,RELACIONES!$B$3:$E$83,4,FALSE)*E356)</f>
        <v/>
      </c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34" t="str">
        <f>IF(ISBLANK(A357),"",VLOOKUP(A357,RELACIONES!$G$3:$H$65,2,FALSE()))</f>
        <v/>
      </c>
      <c r="J357" s="35" t="str">
        <f>IF(ISBLANK(A357),"",VLOOKUP(C357,RELACIONES!$A$3:$B$70,2,FALSE))</f>
        <v/>
      </c>
      <c r="K357" s="35" t="str">
        <f>IF(ISBLANK(A357),"",VLOOKUP(J357,RELACIONES!$B$3:$E$83,4,FALSE)*E357)</f>
        <v/>
      </c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34" t="str">
        <f>IF(ISBLANK(A358),"",VLOOKUP(A358,RELACIONES!$G$3:$H$65,2,FALSE()))</f>
        <v/>
      </c>
      <c r="J358" s="35" t="str">
        <f>IF(ISBLANK(A358),"",VLOOKUP(C358,RELACIONES!$A$3:$B$70,2,FALSE))</f>
        <v/>
      </c>
      <c r="K358" s="35" t="str">
        <f>IF(ISBLANK(A358),"",VLOOKUP(J358,RELACIONES!$B$3:$E$83,4,FALSE)*E358)</f>
        <v/>
      </c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34" t="str">
        <f>IF(ISBLANK(A359),"",VLOOKUP(A359,RELACIONES!$G$3:$H$65,2,FALSE()))</f>
        <v/>
      </c>
      <c r="J359" s="35" t="str">
        <f>IF(ISBLANK(A359),"",VLOOKUP(C359,RELACIONES!$A$3:$B$70,2,FALSE))</f>
        <v/>
      </c>
      <c r="K359" s="35" t="str">
        <f>IF(ISBLANK(A359),"",VLOOKUP(J359,RELACIONES!$B$3:$E$83,4,FALSE)*E359)</f>
        <v/>
      </c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34" t="str">
        <f>IF(ISBLANK(A360),"",VLOOKUP(A360,RELACIONES!$G$3:$H$65,2,FALSE()))</f>
        <v/>
      </c>
      <c r="J360" s="35" t="str">
        <f>IF(ISBLANK(A360),"",VLOOKUP(C360,RELACIONES!$A$3:$B$70,2,FALSE))</f>
        <v/>
      </c>
      <c r="K360" s="35" t="str">
        <f>IF(ISBLANK(A360),"",VLOOKUP(J360,RELACIONES!$B$3:$E$83,4,FALSE)*E360)</f>
        <v/>
      </c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34" t="str">
        <f>IF(ISBLANK(A361),"",VLOOKUP(A361,RELACIONES!$G$3:$H$65,2,FALSE()))</f>
        <v/>
      </c>
      <c r="J361" s="35" t="str">
        <f>IF(ISBLANK(A361),"",VLOOKUP(C361,RELACIONES!$A$3:$B$70,2,FALSE))</f>
        <v/>
      </c>
      <c r="K361" s="35" t="str">
        <f>IF(ISBLANK(A361),"",VLOOKUP(J361,RELACIONES!$B$3:$E$83,4,FALSE)*E361)</f>
        <v/>
      </c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34" t="str">
        <f>IF(ISBLANK(A362),"",VLOOKUP(A362,RELACIONES!$G$3:$H$65,2,FALSE()))</f>
        <v/>
      </c>
      <c r="J362" s="35" t="str">
        <f>IF(ISBLANK(A362),"",VLOOKUP(C362,RELACIONES!$A$3:$B$70,2,FALSE))</f>
        <v/>
      </c>
      <c r="K362" s="35" t="str">
        <f>IF(ISBLANK(A362),"",VLOOKUP(J362,RELACIONES!$B$3:$E$83,4,FALSE)*E362)</f>
        <v/>
      </c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34" t="str">
        <f>IF(ISBLANK(A363),"",VLOOKUP(A363,RELACIONES!$G$3:$H$65,2,FALSE()))</f>
        <v/>
      </c>
      <c r="J363" s="35" t="str">
        <f>IF(ISBLANK(A363),"",VLOOKUP(C363,RELACIONES!$A$3:$B$70,2,FALSE))</f>
        <v/>
      </c>
      <c r="K363" s="35" t="str">
        <f>IF(ISBLANK(A363),"",VLOOKUP(J363,RELACIONES!$B$3:$E$83,4,FALSE)*E363)</f>
        <v/>
      </c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34" t="str">
        <f>IF(ISBLANK(A364),"",VLOOKUP(A364,RELACIONES!$G$3:$H$65,2,FALSE()))</f>
        <v/>
      </c>
      <c r="J364" s="35" t="str">
        <f>IF(ISBLANK(A364),"",VLOOKUP(C364,RELACIONES!$A$3:$B$70,2,FALSE))</f>
        <v/>
      </c>
      <c r="K364" s="35" t="str">
        <f>IF(ISBLANK(A364),"",VLOOKUP(J364,RELACIONES!$B$3:$E$83,4,FALSE)*E364)</f>
        <v/>
      </c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34" t="str">
        <f>IF(ISBLANK(A365),"",VLOOKUP(A365,RELACIONES!$G$3:$H$65,2,FALSE()))</f>
        <v/>
      </c>
      <c r="J365" s="35" t="str">
        <f>IF(ISBLANK(A365),"",VLOOKUP(C365,RELACIONES!$A$3:$B$70,2,FALSE))</f>
        <v/>
      </c>
      <c r="K365" s="35" t="str">
        <f>IF(ISBLANK(A365),"",VLOOKUP(J365,RELACIONES!$B$3:$E$83,4,FALSE)*E365)</f>
        <v/>
      </c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34" t="str">
        <f>IF(ISBLANK(A366),"",VLOOKUP(A366,RELACIONES!$G$3:$H$65,2,FALSE()))</f>
        <v/>
      </c>
      <c r="J366" s="35" t="str">
        <f>IF(ISBLANK(A366),"",VLOOKUP(C366,RELACIONES!$A$3:$B$70,2,FALSE))</f>
        <v/>
      </c>
      <c r="K366" s="35" t="str">
        <f>IF(ISBLANK(A366),"",VLOOKUP(J366,RELACIONES!$B$3:$E$83,4,FALSE)*E366)</f>
        <v/>
      </c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34" t="str">
        <f>IF(ISBLANK(A367),"",VLOOKUP(A367,RELACIONES!$G$3:$H$65,2,FALSE()))</f>
        <v/>
      </c>
      <c r="J367" s="35" t="str">
        <f>IF(ISBLANK(A367),"",VLOOKUP(C367,RELACIONES!$A$3:$B$70,2,FALSE))</f>
        <v/>
      </c>
      <c r="K367" s="35" t="str">
        <f>IF(ISBLANK(A367),"",VLOOKUP(J367,RELACIONES!$B$3:$E$83,4,FALSE)*E367)</f>
        <v/>
      </c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34" t="str">
        <f>IF(ISBLANK(A368),"",VLOOKUP(A368,RELACIONES!$G$3:$H$65,2,FALSE()))</f>
        <v/>
      </c>
      <c r="J368" s="35" t="str">
        <f>IF(ISBLANK(A368),"",VLOOKUP(C368,RELACIONES!$A$3:$B$70,2,FALSE))</f>
        <v/>
      </c>
      <c r="K368" s="35" t="str">
        <f>IF(ISBLANK(A368),"",VLOOKUP(J368,RELACIONES!$B$3:$E$83,4,FALSE)*E368)</f>
        <v/>
      </c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34" t="str">
        <f>IF(ISBLANK(A369),"",VLOOKUP(A369,RELACIONES!$G$3:$H$65,2,FALSE()))</f>
        <v/>
      </c>
      <c r="J369" s="35" t="str">
        <f>IF(ISBLANK(A369),"",VLOOKUP(C369,RELACIONES!$A$3:$B$70,2,FALSE))</f>
        <v/>
      </c>
      <c r="K369" s="35" t="str">
        <f>IF(ISBLANK(A369),"",VLOOKUP(J369,RELACIONES!$B$3:$E$83,4,FALSE)*E369)</f>
        <v/>
      </c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34" t="str">
        <f>IF(ISBLANK(A370),"",VLOOKUP(A370,RELACIONES!$G$3:$H$65,2,FALSE()))</f>
        <v/>
      </c>
      <c r="J370" s="35" t="str">
        <f>IF(ISBLANK(A370),"",VLOOKUP(C370,RELACIONES!$A$3:$B$70,2,FALSE))</f>
        <v/>
      </c>
      <c r="K370" s="35" t="str">
        <f>IF(ISBLANK(A370),"",VLOOKUP(J370,RELACIONES!$B$3:$E$83,4,FALSE)*E370)</f>
        <v/>
      </c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34" t="str">
        <f>IF(ISBLANK(A371),"",VLOOKUP(A371,RELACIONES!$G$3:$H$65,2,FALSE()))</f>
        <v/>
      </c>
      <c r="J371" s="35" t="str">
        <f>IF(ISBLANK(A371),"",VLOOKUP(C371,RELACIONES!$A$3:$B$70,2,FALSE))</f>
        <v/>
      </c>
      <c r="K371" s="35" t="str">
        <f>IF(ISBLANK(A371),"",VLOOKUP(J371,RELACIONES!$B$3:$E$83,4,FALSE)*E371)</f>
        <v/>
      </c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34" t="str">
        <f>IF(ISBLANK(A372),"",VLOOKUP(A372,RELACIONES!$G$3:$H$65,2,FALSE()))</f>
        <v/>
      </c>
      <c r="J372" s="35" t="str">
        <f>IF(ISBLANK(A372),"",VLOOKUP(C372,RELACIONES!$A$3:$B$70,2,FALSE))</f>
        <v/>
      </c>
      <c r="K372" s="35" t="str">
        <f>IF(ISBLANK(A372),"",VLOOKUP(J372,RELACIONES!$B$3:$E$83,4,FALSE)*E372)</f>
        <v/>
      </c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34" t="str">
        <f>IF(ISBLANK(A373),"",VLOOKUP(A373,RELACIONES!$G$3:$H$65,2,FALSE()))</f>
        <v/>
      </c>
      <c r="J373" s="35" t="str">
        <f>IF(ISBLANK(A373),"",VLOOKUP(C373,RELACIONES!$A$3:$B$70,2,FALSE))</f>
        <v/>
      </c>
      <c r="K373" s="35" t="str">
        <f>IF(ISBLANK(A373),"",VLOOKUP(J373,RELACIONES!$B$3:$E$83,4,FALSE)*E373)</f>
        <v/>
      </c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34" t="str">
        <f>IF(ISBLANK(A374),"",VLOOKUP(A374,RELACIONES!$G$3:$H$65,2,FALSE()))</f>
        <v/>
      </c>
      <c r="J374" s="35" t="str">
        <f>IF(ISBLANK(A374),"",VLOOKUP(C374,RELACIONES!$A$3:$B$70,2,FALSE))</f>
        <v/>
      </c>
      <c r="K374" s="35" t="str">
        <f>IF(ISBLANK(A374),"",VLOOKUP(J374,RELACIONES!$B$3:$E$83,4,FALSE)*E374)</f>
        <v/>
      </c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34" t="str">
        <f>IF(ISBLANK(A375),"",VLOOKUP(A375,RELACIONES!$G$3:$H$65,2,FALSE()))</f>
        <v/>
      </c>
      <c r="J375" s="35" t="str">
        <f>IF(ISBLANK(A375),"",VLOOKUP(C375,RELACIONES!$A$3:$B$70,2,FALSE))</f>
        <v/>
      </c>
      <c r="K375" s="35" t="str">
        <f>IF(ISBLANK(A375),"",VLOOKUP(J375,RELACIONES!$B$3:$E$83,4,FALSE)*E375)</f>
        <v/>
      </c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34" t="str">
        <f>IF(ISBLANK(A376),"",VLOOKUP(A376,RELACIONES!$G$3:$H$65,2,FALSE()))</f>
        <v/>
      </c>
      <c r="J376" s="35" t="str">
        <f>IF(ISBLANK(A376),"",VLOOKUP(C376,RELACIONES!$A$3:$B$70,2,FALSE))</f>
        <v/>
      </c>
      <c r="K376" s="35" t="str">
        <f>IF(ISBLANK(A376),"",VLOOKUP(J376,RELACIONES!$B$3:$E$83,4,FALSE)*E376)</f>
        <v/>
      </c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34" t="str">
        <f>IF(ISBLANK(A377),"",VLOOKUP(A377,RELACIONES!$G$3:$H$65,2,FALSE()))</f>
        <v/>
      </c>
      <c r="J377" s="35" t="str">
        <f>IF(ISBLANK(A377),"",VLOOKUP(C377,RELACIONES!$A$3:$B$70,2,FALSE))</f>
        <v/>
      </c>
      <c r="K377" s="35" t="str">
        <f>IF(ISBLANK(A377),"",VLOOKUP(J377,RELACIONES!$B$3:$E$83,4,FALSE)*E377)</f>
        <v/>
      </c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34" t="str">
        <f>IF(ISBLANK(A378),"",VLOOKUP(A378,RELACIONES!$G$3:$H$65,2,FALSE()))</f>
        <v/>
      </c>
      <c r="J378" s="35" t="str">
        <f>IF(ISBLANK(A378),"",VLOOKUP(C378,RELACIONES!$A$3:$B$70,2,FALSE))</f>
        <v/>
      </c>
      <c r="K378" s="35" t="str">
        <f>IF(ISBLANK(A378),"",VLOOKUP(J378,RELACIONES!$B$3:$E$83,4,FALSE)*E378)</f>
        <v/>
      </c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34" t="str">
        <f>IF(ISBLANK(A379),"",VLOOKUP(A379,RELACIONES!$G$3:$H$65,2,FALSE()))</f>
        <v/>
      </c>
      <c r="J379" s="35" t="str">
        <f>IF(ISBLANK(A379),"",VLOOKUP(C379,RELACIONES!$A$3:$B$70,2,FALSE))</f>
        <v/>
      </c>
      <c r="K379" s="35" t="str">
        <f>IF(ISBLANK(A379),"",VLOOKUP(J379,RELACIONES!$B$3:$E$83,4,FALSE)*E379)</f>
        <v/>
      </c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34" t="str">
        <f>IF(ISBLANK(A380),"",VLOOKUP(A380,RELACIONES!$G$3:$H$65,2,FALSE()))</f>
        <v/>
      </c>
      <c r="J380" s="35" t="str">
        <f>IF(ISBLANK(A380),"",VLOOKUP(C380,RELACIONES!$A$3:$B$70,2,FALSE))</f>
        <v/>
      </c>
      <c r="K380" s="35" t="str">
        <f>IF(ISBLANK(A380),"",VLOOKUP(J380,RELACIONES!$B$3:$E$83,4,FALSE)*E380)</f>
        <v/>
      </c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34" t="str">
        <f>IF(ISBLANK(A381),"",VLOOKUP(A381,RELACIONES!$G$3:$H$65,2,FALSE()))</f>
        <v/>
      </c>
      <c r="J381" s="35" t="str">
        <f>IF(ISBLANK(A381),"",VLOOKUP(C381,RELACIONES!$A$3:$B$70,2,FALSE))</f>
        <v/>
      </c>
      <c r="K381" s="35" t="str">
        <f>IF(ISBLANK(A381),"",VLOOKUP(J381,RELACIONES!$B$3:$E$83,4,FALSE)*E381)</f>
        <v/>
      </c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34" t="str">
        <f>IF(ISBLANK(A382),"",VLOOKUP(A382,RELACIONES!$G$3:$H$65,2,FALSE()))</f>
        <v/>
      </c>
      <c r="J382" s="35" t="str">
        <f>IF(ISBLANK(A382),"",VLOOKUP(C382,RELACIONES!$A$3:$B$70,2,FALSE))</f>
        <v/>
      </c>
      <c r="K382" s="35" t="str">
        <f>IF(ISBLANK(A382),"",VLOOKUP(J382,RELACIONES!$B$3:$E$83,4,FALSE)*E382)</f>
        <v/>
      </c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34" t="str">
        <f>IF(ISBLANK(A383),"",VLOOKUP(A383,RELACIONES!$G$3:$H$65,2,FALSE()))</f>
        <v/>
      </c>
      <c r="J383" s="35" t="str">
        <f>IF(ISBLANK(A383),"",VLOOKUP(C383,RELACIONES!$A$3:$B$70,2,FALSE))</f>
        <v/>
      </c>
      <c r="K383" s="35" t="str">
        <f>IF(ISBLANK(A383),"",VLOOKUP(J383,RELACIONES!$B$3:$E$83,4,FALSE)*E383)</f>
        <v/>
      </c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34" t="str">
        <f>IF(ISBLANK(A384),"",VLOOKUP(A384,RELACIONES!$G$3:$H$65,2,FALSE()))</f>
        <v/>
      </c>
      <c r="J384" s="35" t="str">
        <f>IF(ISBLANK(A384),"",VLOOKUP(C384,RELACIONES!$A$3:$B$70,2,FALSE))</f>
        <v/>
      </c>
      <c r="K384" s="35" t="str">
        <f>IF(ISBLANK(A384),"",VLOOKUP(J384,RELACIONES!$B$3:$E$83,4,FALSE)*E384)</f>
        <v/>
      </c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34" t="str">
        <f>IF(ISBLANK(A385),"",VLOOKUP(A385,RELACIONES!$G$3:$H$65,2,FALSE()))</f>
        <v/>
      </c>
      <c r="J385" s="35" t="str">
        <f>IF(ISBLANK(A385),"",VLOOKUP(C385,RELACIONES!$A$3:$B$70,2,FALSE))</f>
        <v/>
      </c>
      <c r="K385" s="35" t="str">
        <f>IF(ISBLANK(A385),"",VLOOKUP(J385,RELACIONES!$B$3:$E$83,4,FALSE)*E385)</f>
        <v/>
      </c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34" t="str">
        <f>IF(ISBLANK(A386),"",VLOOKUP(A386,RELACIONES!$G$3:$H$65,2,FALSE()))</f>
        <v/>
      </c>
      <c r="J386" s="35" t="str">
        <f>IF(ISBLANK(A386),"",VLOOKUP(C386,RELACIONES!$A$3:$B$70,2,FALSE))</f>
        <v/>
      </c>
      <c r="K386" s="35" t="str">
        <f>IF(ISBLANK(A386),"",VLOOKUP(J386,RELACIONES!$B$3:$E$83,4,FALSE)*E386)</f>
        <v/>
      </c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34" t="str">
        <f>IF(ISBLANK(A387),"",VLOOKUP(A387,RELACIONES!$G$3:$H$65,2,FALSE()))</f>
        <v/>
      </c>
      <c r="J387" s="35" t="str">
        <f>IF(ISBLANK(A387),"",VLOOKUP(C387,RELACIONES!$A$3:$B$70,2,FALSE))</f>
        <v/>
      </c>
      <c r="K387" s="35" t="str">
        <f>IF(ISBLANK(A387),"",VLOOKUP(J387,RELACIONES!$B$3:$E$83,4,FALSE)*E387)</f>
        <v/>
      </c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34" t="str">
        <f>IF(ISBLANK(A388),"",VLOOKUP(A388,RELACIONES!$G$3:$H$65,2,FALSE()))</f>
        <v/>
      </c>
      <c r="J388" s="35" t="str">
        <f>IF(ISBLANK(A388),"",VLOOKUP(C388,RELACIONES!$A$3:$B$70,2,FALSE))</f>
        <v/>
      </c>
      <c r="K388" s="35" t="str">
        <f>IF(ISBLANK(A388),"",VLOOKUP(J388,RELACIONES!$B$3:$E$83,4,FALSE)*E388)</f>
        <v/>
      </c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34" t="str">
        <f>IF(ISBLANK(A389),"",VLOOKUP(A389,RELACIONES!$G$3:$H$65,2,FALSE()))</f>
        <v/>
      </c>
      <c r="J389" s="35" t="str">
        <f>IF(ISBLANK(A389),"",VLOOKUP(C389,RELACIONES!$A$3:$B$70,2,FALSE))</f>
        <v/>
      </c>
      <c r="K389" s="35" t="str">
        <f>IF(ISBLANK(A389),"",VLOOKUP(J389,RELACIONES!$B$3:$E$83,4,FALSE)*E389)</f>
        <v/>
      </c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34" t="str">
        <f>IF(ISBLANK(A390),"",VLOOKUP(A390,RELACIONES!$G$3:$H$65,2,FALSE()))</f>
        <v/>
      </c>
      <c r="J390" s="35" t="str">
        <f>IF(ISBLANK(A390),"",VLOOKUP(C390,RELACIONES!$A$3:$B$70,2,FALSE))</f>
        <v/>
      </c>
      <c r="K390" s="35" t="str">
        <f>IF(ISBLANK(A390),"",VLOOKUP(J390,RELACIONES!$B$3:$E$83,4,FALSE)*E390)</f>
        <v/>
      </c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34" t="str">
        <f>IF(ISBLANK(A391),"",VLOOKUP(A391,RELACIONES!$G$3:$H$65,2,FALSE()))</f>
        <v/>
      </c>
      <c r="J391" s="35" t="str">
        <f>IF(ISBLANK(A391),"",VLOOKUP(C391,RELACIONES!$A$3:$B$70,2,FALSE))</f>
        <v/>
      </c>
      <c r="K391" s="35" t="str">
        <f>IF(ISBLANK(A391),"",VLOOKUP(J391,RELACIONES!$B$3:$E$83,4,FALSE)*E391)</f>
        <v/>
      </c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34" t="str">
        <f>IF(ISBLANK(A392),"",VLOOKUP(A392,RELACIONES!$G$3:$H$65,2,FALSE()))</f>
        <v/>
      </c>
      <c r="J392" s="35" t="str">
        <f>IF(ISBLANK(A392),"",VLOOKUP(C392,RELACIONES!$A$3:$B$70,2,FALSE))</f>
        <v/>
      </c>
      <c r="K392" s="35" t="str">
        <f>IF(ISBLANK(A392),"",VLOOKUP(J392,RELACIONES!$B$3:$E$83,4,FALSE)*E392)</f>
        <v/>
      </c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34" t="str">
        <f>IF(ISBLANK(A393),"",VLOOKUP(A393,RELACIONES!$G$3:$H$65,2,FALSE()))</f>
        <v/>
      </c>
      <c r="J393" s="35" t="str">
        <f>IF(ISBLANK(A393),"",VLOOKUP(C393,RELACIONES!$A$3:$B$70,2,FALSE))</f>
        <v/>
      </c>
      <c r="K393" s="35" t="str">
        <f>IF(ISBLANK(A393),"",VLOOKUP(J393,RELACIONES!$B$3:$E$83,4,FALSE)*E393)</f>
        <v/>
      </c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34" t="str">
        <f>IF(ISBLANK(A394),"",VLOOKUP(A394,RELACIONES!$G$3:$H$65,2,FALSE()))</f>
        <v/>
      </c>
      <c r="J394" s="35" t="str">
        <f>IF(ISBLANK(A394),"",VLOOKUP(C394,RELACIONES!$A$3:$B$70,2,FALSE))</f>
        <v/>
      </c>
      <c r="K394" s="35" t="str">
        <f>IF(ISBLANK(A394),"",VLOOKUP(J394,RELACIONES!$B$3:$E$83,4,FALSE)*E394)</f>
        <v/>
      </c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34" t="str">
        <f>IF(ISBLANK(A395),"",VLOOKUP(A395,RELACIONES!$G$3:$H$65,2,FALSE()))</f>
        <v/>
      </c>
      <c r="J395" s="35" t="str">
        <f>IF(ISBLANK(A395),"",VLOOKUP(C395,RELACIONES!$A$3:$B$70,2,FALSE))</f>
        <v/>
      </c>
      <c r="K395" s="35" t="str">
        <f>IF(ISBLANK(A395),"",VLOOKUP(J395,RELACIONES!$B$3:$E$83,4,FALSE)*E395)</f>
        <v/>
      </c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34" t="str">
        <f>IF(ISBLANK(A396),"",VLOOKUP(A396,RELACIONES!$G$3:$H$65,2,FALSE()))</f>
        <v/>
      </c>
      <c r="J396" s="35" t="str">
        <f>IF(ISBLANK(A396),"",VLOOKUP(C396,RELACIONES!$A$3:$B$70,2,FALSE))</f>
        <v/>
      </c>
      <c r="K396" s="35" t="str">
        <f>IF(ISBLANK(A396),"",VLOOKUP(J396,RELACIONES!$B$3:$E$83,4,FALSE)*E396)</f>
        <v/>
      </c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34" t="str">
        <f>IF(ISBLANK(A397),"",VLOOKUP(A397,RELACIONES!$G$3:$H$65,2,FALSE()))</f>
        <v/>
      </c>
      <c r="J397" s="35" t="str">
        <f>IF(ISBLANK(A397),"",VLOOKUP(C397,RELACIONES!$A$3:$B$70,2,FALSE))</f>
        <v/>
      </c>
      <c r="K397" s="35" t="str">
        <f>IF(ISBLANK(A397),"",VLOOKUP(J397,RELACIONES!$B$3:$E$83,4,FALSE)*E397)</f>
        <v/>
      </c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34" t="str">
        <f>IF(ISBLANK(A398),"",VLOOKUP(A398,RELACIONES!$G$3:$H$65,2,FALSE()))</f>
        <v/>
      </c>
      <c r="J398" s="35" t="str">
        <f>IF(ISBLANK(A398),"",VLOOKUP(C398,RELACIONES!$A$3:$B$70,2,FALSE))</f>
        <v/>
      </c>
      <c r="K398" s="35" t="str">
        <f>IF(ISBLANK(A398),"",VLOOKUP(J398,RELACIONES!$B$3:$E$83,4,FALSE)*E398)</f>
        <v/>
      </c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34" t="str">
        <f>IF(ISBLANK(A399),"",VLOOKUP(A399,RELACIONES!$G$3:$H$65,2,FALSE()))</f>
        <v/>
      </c>
      <c r="J399" s="35" t="str">
        <f>IF(ISBLANK(A399),"",VLOOKUP(C399,RELACIONES!$A$3:$B$70,2,FALSE))</f>
        <v/>
      </c>
      <c r="K399" s="35" t="str">
        <f>IF(ISBLANK(A399),"",VLOOKUP(J399,RELACIONES!$B$3:$E$83,4,FALSE)*E399)</f>
        <v/>
      </c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34" t="str">
        <f>IF(ISBLANK(A400),"",VLOOKUP(A400,RELACIONES!$G$3:$H$65,2,FALSE()))</f>
        <v/>
      </c>
      <c r="J400" s="35" t="str">
        <f>IF(ISBLANK(A400),"",VLOOKUP(C400,RELACIONES!$A$3:$B$70,2,FALSE))</f>
        <v/>
      </c>
      <c r="K400" s="35" t="str">
        <f>IF(ISBLANK(A400),"",VLOOKUP(J400,RELACIONES!$B$3:$E$83,4,FALSE)*E400)</f>
        <v/>
      </c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34" t="str">
        <f>IF(ISBLANK(A401),"",VLOOKUP(A401,RELACIONES!$G$3:$H$65,2,FALSE()))</f>
        <v/>
      </c>
      <c r="J401" s="35" t="str">
        <f>IF(ISBLANK(A401),"",VLOOKUP(C401,RELACIONES!$A$3:$B$70,2,FALSE))</f>
        <v/>
      </c>
      <c r="K401" s="35" t="str">
        <f>IF(ISBLANK(A401),"",VLOOKUP(J401,RELACIONES!$B$3:$E$83,4,FALSE)*E401)</f>
        <v/>
      </c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34" t="str">
        <f>IF(ISBLANK(A402),"",VLOOKUP(A402,RELACIONES!$G$3:$H$65,2,FALSE()))</f>
        <v/>
      </c>
      <c r="J402" s="35" t="str">
        <f>IF(ISBLANK(A402),"",VLOOKUP(C402,RELACIONES!$A$3:$B$70,2,FALSE))</f>
        <v/>
      </c>
      <c r="K402" s="35" t="str">
        <f>IF(ISBLANK(A402),"",VLOOKUP(J402,RELACIONES!$B$3:$E$83,4,FALSE)*E402)</f>
        <v/>
      </c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34" t="str">
        <f>IF(ISBLANK(A403),"",VLOOKUP(A403,RELACIONES!$G$3:$H$65,2,FALSE()))</f>
        <v/>
      </c>
      <c r="J403" s="35" t="str">
        <f>IF(ISBLANK(A403),"",VLOOKUP(C403,RELACIONES!$A$3:$B$70,2,FALSE))</f>
        <v/>
      </c>
      <c r="K403" s="35" t="str">
        <f>IF(ISBLANK(A403),"",VLOOKUP(J403,RELACIONES!$B$3:$E$83,4,FALSE)*E403)</f>
        <v/>
      </c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34" t="str">
        <f>IF(ISBLANK(A404),"",VLOOKUP(A404,RELACIONES!$G$3:$H$65,2,FALSE()))</f>
        <v/>
      </c>
      <c r="J404" s="35" t="str">
        <f>IF(ISBLANK(A404),"",VLOOKUP(C404,RELACIONES!$A$3:$B$70,2,FALSE))</f>
        <v/>
      </c>
      <c r="K404" s="35" t="str">
        <f>IF(ISBLANK(A404),"",VLOOKUP(J404,RELACIONES!$B$3:$E$83,4,FALSE)*E404)</f>
        <v/>
      </c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34" t="str">
        <f>IF(ISBLANK(A405),"",VLOOKUP(A405,RELACIONES!$G$3:$H$65,2,FALSE()))</f>
        <v/>
      </c>
      <c r="J405" s="35" t="str">
        <f>IF(ISBLANK(A405),"",VLOOKUP(C405,RELACIONES!$A$3:$B$70,2,FALSE))</f>
        <v/>
      </c>
      <c r="K405" s="35" t="str">
        <f>IF(ISBLANK(A405),"",VLOOKUP(J405,RELACIONES!$B$3:$E$83,4,FALSE)*E405)</f>
        <v/>
      </c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34" t="str">
        <f>IF(ISBLANK(A406),"",VLOOKUP(A406,RELACIONES!$G$3:$H$65,2,FALSE()))</f>
        <v/>
      </c>
      <c r="J406" s="35" t="str">
        <f>IF(ISBLANK(A406),"",VLOOKUP(C406,RELACIONES!$A$3:$B$70,2,FALSE))</f>
        <v/>
      </c>
      <c r="K406" s="35" t="str">
        <f>IF(ISBLANK(A406),"",VLOOKUP(J406,RELACIONES!$B$3:$E$83,4,FALSE)*E406)</f>
        <v/>
      </c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34" t="str">
        <f>IF(ISBLANK(A407),"",VLOOKUP(A407,RELACIONES!$G$3:$H$65,2,FALSE()))</f>
        <v/>
      </c>
      <c r="J407" s="35" t="str">
        <f>IF(ISBLANK(A407),"",VLOOKUP(C407,RELACIONES!$A$3:$B$70,2,FALSE))</f>
        <v/>
      </c>
      <c r="K407" s="35" t="str">
        <f>IF(ISBLANK(A407),"",VLOOKUP(J407,RELACIONES!$B$3:$E$83,4,FALSE)*E407)</f>
        <v/>
      </c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34" t="str">
        <f>IF(ISBLANK(A408),"",VLOOKUP(A408,RELACIONES!$G$3:$H$65,2,FALSE()))</f>
        <v/>
      </c>
      <c r="J408" s="35" t="str">
        <f>IF(ISBLANK(A408),"",VLOOKUP(C408,RELACIONES!$A$3:$B$70,2,FALSE))</f>
        <v/>
      </c>
      <c r="K408" s="35" t="str">
        <f>IF(ISBLANK(A408),"",VLOOKUP(J408,RELACIONES!$B$3:$E$83,4,FALSE)*E408)</f>
        <v/>
      </c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34" t="str">
        <f>IF(ISBLANK(A409),"",VLOOKUP(A409,RELACIONES!$G$3:$H$65,2,FALSE()))</f>
        <v/>
      </c>
      <c r="J409" s="35" t="str">
        <f>IF(ISBLANK(A409),"",VLOOKUP(C409,RELACIONES!$A$3:$B$70,2,FALSE))</f>
        <v/>
      </c>
      <c r="K409" s="35" t="str">
        <f>IF(ISBLANK(A409),"",VLOOKUP(J409,RELACIONES!$B$3:$E$83,4,FALSE)*E409)</f>
        <v/>
      </c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34" t="str">
        <f>IF(ISBLANK(A410),"",VLOOKUP(A410,RELACIONES!$G$3:$H$65,2,FALSE()))</f>
        <v/>
      </c>
      <c r="J410" s="35" t="str">
        <f>IF(ISBLANK(A410),"",VLOOKUP(C410,RELACIONES!$A$3:$B$70,2,FALSE))</f>
        <v/>
      </c>
      <c r="K410" s="35" t="str">
        <f>IF(ISBLANK(A410),"",VLOOKUP(J410,RELACIONES!$B$3:$E$83,4,FALSE)*E410)</f>
        <v/>
      </c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34" t="str">
        <f>IF(ISBLANK(A411),"",VLOOKUP(A411,RELACIONES!$G$3:$H$65,2,FALSE()))</f>
        <v/>
      </c>
      <c r="J411" s="35" t="str">
        <f>IF(ISBLANK(A411),"",VLOOKUP(C411,RELACIONES!$A$3:$B$70,2,FALSE))</f>
        <v/>
      </c>
      <c r="K411" s="35" t="str">
        <f>IF(ISBLANK(A411),"",VLOOKUP(J411,RELACIONES!$B$3:$E$83,4,FALSE)*E411)</f>
        <v/>
      </c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34" t="str">
        <f>IF(ISBLANK(A412),"",VLOOKUP(A412,RELACIONES!$G$3:$H$65,2,FALSE()))</f>
        <v/>
      </c>
      <c r="J412" s="35" t="str">
        <f>IF(ISBLANK(A412),"",VLOOKUP(C412,RELACIONES!$A$3:$B$70,2,FALSE))</f>
        <v/>
      </c>
      <c r="K412" s="35" t="str">
        <f>IF(ISBLANK(A412),"",VLOOKUP(J412,RELACIONES!$B$3:$E$83,4,FALSE)*E412)</f>
        <v/>
      </c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34" t="str">
        <f>IF(ISBLANK(A413),"",VLOOKUP(A413,RELACIONES!$G$3:$H$65,2,FALSE()))</f>
        <v/>
      </c>
      <c r="J413" s="35" t="str">
        <f>IF(ISBLANK(A413),"",VLOOKUP(C413,RELACIONES!$A$3:$B$70,2,FALSE))</f>
        <v/>
      </c>
      <c r="K413" s="35" t="str">
        <f>IF(ISBLANK(A413),"",VLOOKUP(J413,RELACIONES!$B$3:$E$83,4,FALSE)*E413)</f>
        <v/>
      </c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34" t="str">
        <f>IF(ISBLANK(A414),"",VLOOKUP(A414,RELACIONES!$G$3:$H$65,2,FALSE()))</f>
        <v/>
      </c>
      <c r="J414" s="35" t="str">
        <f>IF(ISBLANK(A414),"",VLOOKUP(C414,RELACIONES!$A$3:$B$70,2,FALSE))</f>
        <v/>
      </c>
      <c r="K414" s="35" t="str">
        <f>IF(ISBLANK(A414),"",VLOOKUP(J414,RELACIONES!$B$3:$E$83,4,FALSE)*E414)</f>
        <v/>
      </c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34" t="str">
        <f>IF(ISBLANK(A415),"",VLOOKUP(A415,RELACIONES!$G$3:$H$65,2,FALSE()))</f>
        <v/>
      </c>
      <c r="J415" s="35" t="str">
        <f>IF(ISBLANK(A415),"",VLOOKUP(C415,RELACIONES!$A$3:$B$70,2,FALSE))</f>
        <v/>
      </c>
      <c r="K415" s="35" t="str">
        <f>IF(ISBLANK(A415),"",VLOOKUP(J415,RELACIONES!$B$3:$E$83,4,FALSE)*E415)</f>
        <v/>
      </c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34" t="str">
        <f>IF(ISBLANK(A416),"",VLOOKUP(A416,RELACIONES!$G$3:$H$65,2,FALSE()))</f>
        <v/>
      </c>
      <c r="J416" s="35" t="str">
        <f>IF(ISBLANK(A416),"",VLOOKUP(C416,RELACIONES!$A$3:$B$70,2,FALSE))</f>
        <v/>
      </c>
      <c r="K416" s="35" t="str">
        <f>IF(ISBLANK(A416),"",VLOOKUP(J416,RELACIONES!$B$3:$E$83,4,FALSE)*E416)</f>
        <v/>
      </c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34" t="str">
        <f>IF(ISBLANK(A417),"",VLOOKUP(A417,RELACIONES!$G$3:$H$65,2,FALSE()))</f>
        <v/>
      </c>
      <c r="J417" s="35" t="str">
        <f>IF(ISBLANK(A417),"",VLOOKUP(C417,RELACIONES!$A$3:$B$70,2,FALSE))</f>
        <v/>
      </c>
      <c r="K417" s="35" t="str">
        <f>IF(ISBLANK(A417),"",VLOOKUP(J417,RELACIONES!$B$3:$E$83,4,FALSE)*E417)</f>
        <v/>
      </c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34" t="str">
        <f>IF(ISBLANK(A418),"",VLOOKUP(A418,RELACIONES!$G$3:$H$65,2,FALSE()))</f>
        <v/>
      </c>
      <c r="J418" s="35" t="str">
        <f>IF(ISBLANK(A418),"",VLOOKUP(C418,RELACIONES!$A$3:$B$70,2,FALSE))</f>
        <v/>
      </c>
      <c r="K418" s="35" t="str">
        <f>IF(ISBLANK(A418),"",VLOOKUP(J418,RELACIONES!$B$3:$E$83,4,FALSE)*E418)</f>
        <v/>
      </c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34" t="str">
        <f>IF(ISBLANK(A419),"",VLOOKUP(A419,RELACIONES!$G$3:$H$65,2,FALSE()))</f>
        <v/>
      </c>
      <c r="J419" s="35" t="str">
        <f>IF(ISBLANK(A419),"",VLOOKUP(C419,RELACIONES!$A$3:$B$70,2,FALSE))</f>
        <v/>
      </c>
      <c r="K419" s="35" t="str">
        <f>IF(ISBLANK(A419),"",VLOOKUP(J419,RELACIONES!$B$3:$E$83,4,FALSE)*E419)</f>
        <v/>
      </c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34" t="str">
        <f>IF(ISBLANK(A420),"",VLOOKUP(A420,RELACIONES!$G$3:$H$65,2,FALSE()))</f>
        <v/>
      </c>
      <c r="J420" s="35" t="str">
        <f>IF(ISBLANK(A420),"",VLOOKUP(C420,RELACIONES!$A$3:$B$70,2,FALSE))</f>
        <v/>
      </c>
      <c r="K420" s="35" t="str">
        <f>IF(ISBLANK(A420),"",VLOOKUP(J420,RELACIONES!$B$3:$E$83,4,FALSE)*E420)</f>
        <v/>
      </c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34" t="str">
        <f>IF(ISBLANK(A421),"",VLOOKUP(A421,RELACIONES!$G$3:$H$65,2,FALSE()))</f>
        <v/>
      </c>
      <c r="J421" s="35" t="str">
        <f>IF(ISBLANK(A421),"",VLOOKUP(C421,RELACIONES!$A$3:$B$70,2,FALSE))</f>
        <v/>
      </c>
      <c r="K421" s="35" t="str">
        <f>IF(ISBLANK(A421),"",VLOOKUP(J421,RELACIONES!$B$3:$E$83,4,FALSE)*E421)</f>
        <v/>
      </c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34" t="str">
        <f>IF(ISBLANK(A422),"",VLOOKUP(A422,RELACIONES!$G$3:$H$65,2,FALSE()))</f>
        <v/>
      </c>
      <c r="J422" s="35" t="str">
        <f>IF(ISBLANK(A422),"",VLOOKUP(C422,RELACIONES!$A$3:$B$70,2,FALSE))</f>
        <v/>
      </c>
      <c r="K422" s="35" t="str">
        <f>IF(ISBLANK(A422),"",VLOOKUP(J422,RELACIONES!$B$3:$E$83,4,FALSE)*E422)</f>
        <v/>
      </c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34" t="str">
        <f>IF(ISBLANK(A423),"",VLOOKUP(A423,RELACIONES!$G$3:$H$65,2,FALSE()))</f>
        <v/>
      </c>
      <c r="J423" s="35" t="str">
        <f>IF(ISBLANK(A423),"",VLOOKUP(C423,RELACIONES!$A$3:$B$70,2,FALSE))</f>
        <v/>
      </c>
      <c r="K423" s="35" t="str">
        <f>IF(ISBLANK(A423),"",VLOOKUP(J423,RELACIONES!$B$3:$E$83,4,FALSE)*E423)</f>
        <v/>
      </c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34" t="str">
        <f>IF(ISBLANK(A424),"",VLOOKUP(A424,RELACIONES!$G$3:$H$65,2,FALSE()))</f>
        <v/>
      </c>
      <c r="J424" s="35" t="str">
        <f>IF(ISBLANK(A424),"",VLOOKUP(C424,RELACIONES!$A$3:$B$70,2,FALSE))</f>
        <v/>
      </c>
      <c r="K424" s="35" t="str">
        <f>IF(ISBLANK(A424),"",VLOOKUP(J424,RELACIONES!$B$3:$E$83,4,FALSE)*E424)</f>
        <v/>
      </c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34" t="str">
        <f>IF(ISBLANK(A425),"",VLOOKUP(A425,RELACIONES!$G$3:$H$65,2,FALSE()))</f>
        <v/>
      </c>
      <c r="J425" s="35" t="str">
        <f>IF(ISBLANK(A425),"",VLOOKUP(C425,RELACIONES!$A$3:$B$70,2,FALSE))</f>
        <v/>
      </c>
      <c r="K425" s="35" t="str">
        <f>IF(ISBLANK(A425),"",VLOOKUP(J425,RELACIONES!$B$3:$E$83,4,FALSE)*E425)</f>
        <v/>
      </c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34" t="str">
        <f>IF(ISBLANK(A426),"",VLOOKUP(A426,RELACIONES!$G$3:$H$65,2,FALSE()))</f>
        <v/>
      </c>
      <c r="J426" s="35" t="str">
        <f>IF(ISBLANK(A426),"",VLOOKUP(C426,RELACIONES!$A$3:$B$70,2,FALSE))</f>
        <v/>
      </c>
      <c r="K426" s="35" t="str">
        <f>IF(ISBLANK(A426),"",VLOOKUP(J426,RELACIONES!$B$3:$E$83,4,FALSE)*E426)</f>
        <v/>
      </c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34" t="str">
        <f>IF(ISBLANK(A427),"",VLOOKUP(A427,RELACIONES!$G$3:$H$65,2,FALSE()))</f>
        <v/>
      </c>
      <c r="J427" s="35" t="str">
        <f>IF(ISBLANK(A427),"",VLOOKUP(C427,RELACIONES!$A$3:$B$70,2,FALSE))</f>
        <v/>
      </c>
      <c r="K427" s="35" t="str">
        <f>IF(ISBLANK(A427),"",VLOOKUP(J427,RELACIONES!$B$3:$E$83,4,FALSE)*E427)</f>
        <v/>
      </c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34" t="str">
        <f>IF(ISBLANK(A428),"",VLOOKUP(A428,RELACIONES!$G$3:$H$65,2,FALSE()))</f>
        <v/>
      </c>
      <c r="J428" s="35" t="str">
        <f>IF(ISBLANK(A428),"",VLOOKUP(C428,RELACIONES!$A$3:$B$70,2,FALSE))</f>
        <v/>
      </c>
      <c r="K428" s="35" t="str">
        <f>IF(ISBLANK(A428),"",VLOOKUP(J428,RELACIONES!$B$3:$E$83,4,FALSE)*E428)</f>
        <v/>
      </c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34" t="str">
        <f>IF(ISBLANK(A429),"",VLOOKUP(A429,RELACIONES!$G$3:$H$65,2,FALSE()))</f>
        <v/>
      </c>
      <c r="J429" s="35" t="str">
        <f>IF(ISBLANK(A429),"",VLOOKUP(C429,RELACIONES!$A$3:$B$70,2,FALSE))</f>
        <v/>
      </c>
      <c r="K429" s="35" t="str">
        <f>IF(ISBLANK(A429),"",VLOOKUP(J429,RELACIONES!$B$3:$E$83,4,FALSE)*E429)</f>
        <v/>
      </c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34" t="str">
        <f>IF(ISBLANK(A430),"",VLOOKUP(A430,RELACIONES!$G$3:$H$65,2,FALSE()))</f>
        <v/>
      </c>
      <c r="J430" s="35" t="str">
        <f>IF(ISBLANK(A430),"",VLOOKUP(C430,RELACIONES!$A$3:$B$70,2,FALSE))</f>
        <v/>
      </c>
      <c r="K430" s="35" t="str">
        <f>IF(ISBLANK(A430),"",VLOOKUP(J430,RELACIONES!$B$3:$E$83,4,FALSE)*E430)</f>
        <v/>
      </c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34" t="str">
        <f>IF(ISBLANK(A431),"",VLOOKUP(A431,RELACIONES!$G$3:$H$65,2,FALSE()))</f>
        <v/>
      </c>
      <c r="J431" s="35" t="str">
        <f>IF(ISBLANK(A431),"",VLOOKUP(C431,RELACIONES!$A$3:$B$70,2,FALSE))</f>
        <v/>
      </c>
      <c r="K431" s="35" t="str">
        <f>IF(ISBLANK(A431),"",VLOOKUP(J431,RELACIONES!$B$3:$E$83,4,FALSE)*E431)</f>
        <v/>
      </c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34" t="str">
        <f>IF(ISBLANK(A432),"",VLOOKUP(A432,RELACIONES!$G$3:$H$65,2,FALSE()))</f>
        <v/>
      </c>
      <c r="J432" s="35" t="str">
        <f>IF(ISBLANK(A432),"",VLOOKUP(C432,RELACIONES!$A$3:$B$70,2,FALSE))</f>
        <v/>
      </c>
      <c r="K432" s="35" t="str">
        <f>IF(ISBLANK(A432),"",VLOOKUP(J432,RELACIONES!$B$3:$E$83,4,FALSE)*E432)</f>
        <v/>
      </c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34" t="str">
        <f>IF(ISBLANK(A433),"",VLOOKUP(A433,RELACIONES!$G$3:$H$65,2,FALSE()))</f>
        <v/>
      </c>
      <c r="J433" s="35" t="str">
        <f>IF(ISBLANK(A433),"",VLOOKUP(C433,RELACIONES!$A$3:$B$70,2,FALSE))</f>
        <v/>
      </c>
      <c r="K433" s="35" t="str">
        <f>IF(ISBLANK(A433),"",VLOOKUP(J433,RELACIONES!$B$3:$E$83,4,FALSE)*E433)</f>
        <v/>
      </c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34" t="str">
        <f>IF(ISBLANK(A434),"",VLOOKUP(A434,RELACIONES!$G$3:$H$65,2,FALSE()))</f>
        <v/>
      </c>
      <c r="J434" s="35" t="str">
        <f>IF(ISBLANK(A434),"",VLOOKUP(C434,RELACIONES!$A$3:$B$70,2,FALSE))</f>
        <v/>
      </c>
      <c r="K434" s="35" t="str">
        <f>IF(ISBLANK(A434),"",VLOOKUP(J434,RELACIONES!$B$3:$E$83,4,FALSE)*E434)</f>
        <v/>
      </c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34" t="str">
        <f>IF(ISBLANK(A435),"",VLOOKUP(A435,RELACIONES!$G$3:$H$65,2,FALSE()))</f>
        <v/>
      </c>
      <c r="J435" s="35" t="str">
        <f>IF(ISBLANK(A435),"",VLOOKUP(C435,RELACIONES!$A$3:$B$70,2,FALSE))</f>
        <v/>
      </c>
      <c r="K435" s="35" t="str">
        <f>IF(ISBLANK(A435),"",VLOOKUP(J435,RELACIONES!$B$3:$E$83,4,FALSE)*E435)</f>
        <v/>
      </c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34" t="str">
        <f>IF(ISBLANK(A436),"",VLOOKUP(A436,RELACIONES!$G$3:$H$65,2,FALSE()))</f>
        <v/>
      </c>
      <c r="J436" s="35" t="str">
        <f>IF(ISBLANK(A436),"",VLOOKUP(C436,RELACIONES!$A$3:$B$70,2,FALSE))</f>
        <v/>
      </c>
      <c r="K436" s="35" t="str">
        <f>IF(ISBLANK(A436),"",VLOOKUP(J436,RELACIONES!$B$3:$E$83,4,FALSE)*E436)</f>
        <v/>
      </c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34" t="str">
        <f>IF(ISBLANK(A437),"",VLOOKUP(A437,RELACIONES!$G$3:$H$65,2,FALSE()))</f>
        <v/>
      </c>
      <c r="J437" s="35" t="str">
        <f>IF(ISBLANK(A437),"",VLOOKUP(C437,RELACIONES!$A$3:$B$70,2,FALSE))</f>
        <v/>
      </c>
      <c r="K437" s="35" t="str">
        <f>IF(ISBLANK(A437),"",VLOOKUP(J437,RELACIONES!$B$3:$E$83,4,FALSE)*E437)</f>
        <v/>
      </c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34" t="str">
        <f>IF(ISBLANK(A438),"",VLOOKUP(A438,RELACIONES!$G$3:$H$65,2,FALSE()))</f>
        <v/>
      </c>
      <c r="J438" s="35" t="str">
        <f>IF(ISBLANK(A438),"",VLOOKUP(C438,RELACIONES!$A$3:$B$70,2,FALSE))</f>
        <v/>
      </c>
      <c r="K438" s="35" t="str">
        <f>IF(ISBLANK(A438),"",VLOOKUP(J438,RELACIONES!$B$3:$E$83,4,FALSE)*E438)</f>
        <v/>
      </c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34" t="str">
        <f>IF(ISBLANK(A439),"",VLOOKUP(A439,RELACIONES!$G$3:$H$65,2,FALSE()))</f>
        <v/>
      </c>
      <c r="J439" s="35" t="str">
        <f>IF(ISBLANK(A439),"",VLOOKUP(C439,RELACIONES!$A$3:$B$70,2,FALSE))</f>
        <v/>
      </c>
      <c r="K439" s="35" t="str">
        <f>IF(ISBLANK(A439),"",VLOOKUP(J439,RELACIONES!$B$3:$E$83,4,FALSE)*E439)</f>
        <v/>
      </c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34" t="str">
        <f>IF(ISBLANK(A440),"",VLOOKUP(A440,RELACIONES!$G$3:$H$65,2,FALSE()))</f>
        <v/>
      </c>
      <c r="J440" s="35" t="str">
        <f>IF(ISBLANK(A440),"",VLOOKUP(C440,RELACIONES!$A$3:$B$70,2,FALSE))</f>
        <v/>
      </c>
      <c r="K440" s="35" t="str">
        <f>IF(ISBLANK(A440),"",VLOOKUP(J440,RELACIONES!$B$3:$E$83,4,FALSE)*E440)</f>
        <v/>
      </c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34" t="str">
        <f>IF(ISBLANK(A441),"",VLOOKUP(A441,RELACIONES!$G$3:$H$65,2,FALSE()))</f>
        <v/>
      </c>
      <c r="J441" s="35" t="str">
        <f>IF(ISBLANK(A441),"",VLOOKUP(C441,RELACIONES!$A$3:$B$70,2,FALSE))</f>
        <v/>
      </c>
      <c r="K441" s="35" t="str">
        <f>IF(ISBLANK(A441),"",VLOOKUP(J441,RELACIONES!$B$3:$E$83,4,FALSE)*E441)</f>
        <v/>
      </c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34" t="str">
        <f>IF(ISBLANK(A442),"",VLOOKUP(A442,RELACIONES!$G$3:$H$65,2,FALSE()))</f>
        <v/>
      </c>
      <c r="J442" s="35" t="str">
        <f>IF(ISBLANK(A442),"",VLOOKUP(C442,RELACIONES!$A$3:$B$70,2,FALSE))</f>
        <v/>
      </c>
      <c r="K442" s="35" t="str">
        <f>IF(ISBLANK(A442),"",VLOOKUP(J442,RELACIONES!$B$3:$E$83,4,FALSE)*E442)</f>
        <v/>
      </c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34" t="str">
        <f>IF(ISBLANK(A443),"",VLOOKUP(A443,RELACIONES!$G$3:$H$65,2,FALSE()))</f>
        <v/>
      </c>
      <c r="J443" s="35" t="str">
        <f>IF(ISBLANK(A443),"",VLOOKUP(C443,RELACIONES!$A$3:$B$70,2,FALSE))</f>
        <v/>
      </c>
      <c r="K443" s="35" t="str">
        <f>IF(ISBLANK(A443),"",VLOOKUP(J443,RELACIONES!$B$3:$E$83,4,FALSE)*E443)</f>
        <v/>
      </c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34" t="str">
        <f>IF(ISBLANK(A444),"",VLOOKUP(A444,RELACIONES!$G$3:$H$65,2,FALSE()))</f>
        <v/>
      </c>
      <c r="J444" s="35" t="str">
        <f>IF(ISBLANK(A444),"",VLOOKUP(C444,RELACIONES!$A$3:$B$70,2,FALSE))</f>
        <v/>
      </c>
      <c r="K444" s="35" t="str">
        <f>IF(ISBLANK(A444),"",VLOOKUP(J444,RELACIONES!$B$3:$E$83,4,FALSE)*E444)</f>
        <v/>
      </c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34" t="str">
        <f>IF(ISBLANK(A445),"",VLOOKUP(A445,RELACIONES!$G$3:$H$65,2,FALSE()))</f>
        <v/>
      </c>
      <c r="J445" s="35" t="str">
        <f>IF(ISBLANK(A445),"",VLOOKUP(C445,RELACIONES!$A$3:$B$70,2,FALSE))</f>
        <v/>
      </c>
      <c r="K445" s="35" t="str">
        <f>IF(ISBLANK(A445),"",VLOOKUP(J445,RELACIONES!$B$3:$E$83,4,FALSE)*E445)</f>
        <v/>
      </c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34" t="str">
        <f>IF(ISBLANK(A446),"",VLOOKUP(A446,RELACIONES!$G$3:$H$65,2,FALSE()))</f>
        <v/>
      </c>
      <c r="J446" s="35" t="str">
        <f>IF(ISBLANK(A446),"",VLOOKUP(C446,RELACIONES!$A$3:$B$70,2,FALSE))</f>
        <v/>
      </c>
      <c r="K446" s="35" t="str">
        <f>IF(ISBLANK(A446),"",VLOOKUP(J446,RELACIONES!$B$3:$E$83,4,FALSE)*E446)</f>
        <v/>
      </c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34" t="str">
        <f>IF(ISBLANK(A447),"",VLOOKUP(A447,RELACIONES!$G$3:$H$65,2,FALSE()))</f>
        <v/>
      </c>
      <c r="J447" s="35" t="str">
        <f>IF(ISBLANK(A447),"",VLOOKUP(C447,RELACIONES!$A$3:$B$70,2,FALSE))</f>
        <v/>
      </c>
      <c r="K447" s="35" t="str">
        <f>IF(ISBLANK(A447),"",VLOOKUP(J447,RELACIONES!$B$3:$E$83,4,FALSE)*E447)</f>
        <v/>
      </c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34" t="str">
        <f>IF(ISBLANK(A448),"",VLOOKUP(A448,RELACIONES!$G$3:$H$65,2,FALSE()))</f>
        <v/>
      </c>
      <c r="J448" s="35" t="str">
        <f>IF(ISBLANK(A448),"",VLOOKUP(C448,RELACIONES!$A$3:$B$70,2,FALSE))</f>
        <v/>
      </c>
      <c r="K448" s="35" t="str">
        <f>IF(ISBLANK(A448),"",VLOOKUP(J448,RELACIONES!$B$3:$E$83,4,FALSE)*E448)</f>
        <v/>
      </c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34" t="str">
        <f>IF(ISBLANK(A449),"",VLOOKUP(A449,RELACIONES!$G$3:$H$65,2,FALSE()))</f>
        <v/>
      </c>
      <c r="J449" s="35" t="str">
        <f>IF(ISBLANK(A449),"",VLOOKUP(C449,RELACIONES!$A$3:$B$70,2,FALSE))</f>
        <v/>
      </c>
      <c r="K449" s="35" t="str">
        <f>IF(ISBLANK(A449),"",VLOOKUP(J449,RELACIONES!$B$3:$E$83,4,FALSE)*E449)</f>
        <v/>
      </c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34" t="str">
        <f>IF(ISBLANK(A450),"",VLOOKUP(A450,RELACIONES!$G$3:$H$65,2,FALSE()))</f>
        <v/>
      </c>
      <c r="J450" s="35" t="str">
        <f>IF(ISBLANK(A450),"",VLOOKUP(C450,RELACIONES!$A$3:$B$70,2,FALSE))</f>
        <v/>
      </c>
      <c r="K450" s="35" t="str">
        <f>IF(ISBLANK(A450),"",VLOOKUP(J450,RELACIONES!$B$3:$E$83,4,FALSE)*E450)</f>
        <v/>
      </c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34" t="str">
        <f>IF(ISBLANK(A451),"",VLOOKUP(A451,RELACIONES!$G$3:$H$65,2,FALSE()))</f>
        <v/>
      </c>
      <c r="J451" s="35" t="str">
        <f>IF(ISBLANK(A451),"",VLOOKUP(C451,RELACIONES!$A$3:$B$70,2,FALSE))</f>
        <v/>
      </c>
      <c r="K451" s="35" t="str">
        <f>IF(ISBLANK(A451),"",VLOOKUP(J451,RELACIONES!$B$3:$E$83,4,FALSE)*E451)</f>
        <v/>
      </c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34" t="str">
        <f>IF(ISBLANK(A452),"",VLOOKUP(A452,RELACIONES!$G$3:$H$65,2,FALSE()))</f>
        <v/>
      </c>
      <c r="J452" s="35" t="str">
        <f>IF(ISBLANK(A452),"",VLOOKUP(C452,RELACIONES!$A$3:$B$70,2,FALSE))</f>
        <v/>
      </c>
      <c r="K452" s="35" t="str">
        <f>IF(ISBLANK(A452),"",VLOOKUP(J452,RELACIONES!$B$3:$E$83,4,FALSE)*E452)</f>
        <v/>
      </c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34" t="str">
        <f>IF(ISBLANK(A453),"",VLOOKUP(A453,RELACIONES!$G$3:$H$65,2,FALSE()))</f>
        <v/>
      </c>
      <c r="J453" s="35" t="str">
        <f>IF(ISBLANK(A453),"",VLOOKUP(C453,RELACIONES!$A$3:$B$70,2,FALSE))</f>
        <v/>
      </c>
      <c r="K453" s="35" t="str">
        <f>IF(ISBLANK(A453),"",VLOOKUP(J453,RELACIONES!$B$3:$E$83,4,FALSE)*E453)</f>
        <v/>
      </c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34" t="str">
        <f>IF(ISBLANK(A454),"",VLOOKUP(A454,RELACIONES!$G$3:$H$65,2,FALSE()))</f>
        <v/>
      </c>
      <c r="J454" s="35" t="str">
        <f>IF(ISBLANK(A454),"",VLOOKUP(C454,RELACIONES!$A$3:$B$70,2,FALSE))</f>
        <v/>
      </c>
      <c r="K454" s="35" t="str">
        <f>IF(ISBLANK(A454),"",VLOOKUP(J454,RELACIONES!$B$3:$E$83,4,FALSE)*E454)</f>
        <v/>
      </c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34" t="str">
        <f>IF(ISBLANK(A455),"",VLOOKUP(A455,RELACIONES!$G$3:$H$65,2,FALSE()))</f>
        <v/>
      </c>
      <c r="J455" s="35" t="str">
        <f>IF(ISBLANK(A455),"",VLOOKUP(C455,RELACIONES!$A$3:$B$70,2,FALSE))</f>
        <v/>
      </c>
      <c r="K455" s="35" t="str">
        <f>IF(ISBLANK(A455),"",VLOOKUP(J455,RELACIONES!$B$3:$E$83,4,FALSE)*E455)</f>
        <v/>
      </c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34" t="str">
        <f>IF(ISBLANK(A456),"",VLOOKUP(A456,RELACIONES!$G$3:$H$65,2,FALSE()))</f>
        <v/>
      </c>
      <c r="J456" s="35" t="str">
        <f>IF(ISBLANK(A456),"",VLOOKUP(C456,RELACIONES!$A$3:$B$70,2,FALSE))</f>
        <v/>
      </c>
      <c r="K456" s="35" t="str">
        <f>IF(ISBLANK(A456),"",VLOOKUP(J456,RELACIONES!$B$3:$E$83,4,FALSE)*E456)</f>
        <v/>
      </c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34" t="str">
        <f>IF(ISBLANK(A457),"",VLOOKUP(A457,RELACIONES!$G$3:$H$65,2,FALSE()))</f>
        <v/>
      </c>
      <c r="J457" s="35" t="str">
        <f>IF(ISBLANK(A457),"",VLOOKUP(C457,RELACIONES!$A$3:$B$70,2,FALSE))</f>
        <v/>
      </c>
      <c r="K457" s="35" t="str">
        <f>IF(ISBLANK(A457),"",VLOOKUP(J457,RELACIONES!$B$3:$E$83,4,FALSE)*E457)</f>
        <v/>
      </c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34" t="str">
        <f>IF(ISBLANK(A458),"",VLOOKUP(A458,RELACIONES!$G$3:$H$65,2,FALSE()))</f>
        <v/>
      </c>
      <c r="J458" s="35" t="str">
        <f>IF(ISBLANK(A458),"",VLOOKUP(C458,RELACIONES!$A$3:$B$70,2,FALSE))</f>
        <v/>
      </c>
      <c r="K458" s="35" t="str">
        <f>IF(ISBLANK(A458),"",VLOOKUP(J458,RELACIONES!$B$3:$E$83,4,FALSE)*E458)</f>
        <v/>
      </c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34" t="str">
        <f>IF(ISBLANK(A459),"",VLOOKUP(A459,RELACIONES!$G$3:$H$65,2,FALSE()))</f>
        <v/>
      </c>
      <c r="J459" s="35" t="str">
        <f>IF(ISBLANK(A459),"",VLOOKUP(C459,RELACIONES!$A$3:$B$70,2,FALSE))</f>
        <v/>
      </c>
      <c r="K459" s="35" t="str">
        <f>IF(ISBLANK(A459),"",VLOOKUP(J459,RELACIONES!$B$3:$E$83,4,FALSE)*E459)</f>
        <v/>
      </c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34" t="str">
        <f>IF(ISBLANK(A460),"",VLOOKUP(A460,RELACIONES!$G$3:$H$65,2,FALSE()))</f>
        <v/>
      </c>
      <c r="J460" s="35" t="str">
        <f>IF(ISBLANK(A460),"",VLOOKUP(C460,RELACIONES!$A$3:$B$70,2,FALSE))</f>
        <v/>
      </c>
      <c r="K460" s="35" t="str">
        <f>IF(ISBLANK(A460),"",VLOOKUP(J460,RELACIONES!$B$3:$E$83,4,FALSE)*E460)</f>
        <v/>
      </c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34" t="str">
        <f>IF(ISBLANK(A461),"",VLOOKUP(A461,RELACIONES!$G$3:$H$65,2,FALSE()))</f>
        <v/>
      </c>
      <c r="J461" s="35" t="str">
        <f>IF(ISBLANK(A461),"",VLOOKUP(C461,RELACIONES!$A$3:$B$70,2,FALSE))</f>
        <v/>
      </c>
      <c r="K461" s="35" t="str">
        <f>IF(ISBLANK(A461),"",VLOOKUP(J461,RELACIONES!$B$3:$E$83,4,FALSE)*E461)</f>
        <v/>
      </c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34" t="str">
        <f>IF(ISBLANK(A462),"",VLOOKUP(A462,RELACIONES!$G$3:$H$65,2,FALSE()))</f>
        <v/>
      </c>
      <c r="J462" s="35" t="str">
        <f>IF(ISBLANK(A462),"",VLOOKUP(C462,RELACIONES!$A$3:$B$70,2,FALSE))</f>
        <v/>
      </c>
      <c r="K462" s="35" t="str">
        <f>IF(ISBLANK(A462),"",VLOOKUP(J462,RELACIONES!$B$3:$E$83,4,FALSE)*E462)</f>
        <v/>
      </c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34" t="str">
        <f>IF(ISBLANK(A463),"",VLOOKUP(A463,RELACIONES!$G$3:$H$65,2,FALSE()))</f>
        <v/>
      </c>
      <c r="J463" s="35" t="str">
        <f>IF(ISBLANK(A463),"",VLOOKUP(C463,RELACIONES!$A$3:$B$70,2,FALSE))</f>
        <v/>
      </c>
      <c r="K463" s="35" t="str">
        <f>IF(ISBLANK(A463),"",VLOOKUP(J463,RELACIONES!$B$3:$E$83,4,FALSE)*E463)</f>
        <v/>
      </c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34" t="str">
        <f>IF(ISBLANK(A464),"",VLOOKUP(A464,RELACIONES!$G$3:$H$65,2,FALSE()))</f>
        <v/>
      </c>
      <c r="J464" s="35" t="str">
        <f>IF(ISBLANK(A464),"",VLOOKUP(C464,RELACIONES!$A$3:$B$70,2,FALSE))</f>
        <v/>
      </c>
      <c r="K464" s="35" t="str">
        <f>IF(ISBLANK(A464),"",VLOOKUP(J464,RELACIONES!$B$3:$E$83,4,FALSE)*E464)</f>
        <v/>
      </c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34" t="str">
        <f>IF(ISBLANK(A465),"",VLOOKUP(A465,RELACIONES!$G$3:$H$65,2,FALSE()))</f>
        <v/>
      </c>
      <c r="J465" s="35" t="str">
        <f>IF(ISBLANK(A465),"",VLOOKUP(C465,RELACIONES!$A$3:$B$70,2,FALSE))</f>
        <v/>
      </c>
      <c r="K465" s="35" t="str">
        <f>IF(ISBLANK(A465),"",VLOOKUP(J465,RELACIONES!$B$3:$E$83,4,FALSE)*E465)</f>
        <v/>
      </c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34" t="str">
        <f>IF(ISBLANK(A466),"",VLOOKUP(A466,RELACIONES!$G$3:$H$65,2,FALSE()))</f>
        <v/>
      </c>
      <c r="J466" s="35" t="str">
        <f>IF(ISBLANK(A466),"",VLOOKUP(C466,RELACIONES!$A$3:$B$70,2,FALSE))</f>
        <v/>
      </c>
      <c r="K466" s="35" t="str">
        <f>IF(ISBLANK(A466),"",VLOOKUP(J466,RELACIONES!$B$3:$E$83,4,FALSE)*E466)</f>
        <v/>
      </c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34" t="str">
        <f>IF(ISBLANK(A467),"",VLOOKUP(A467,RELACIONES!$G$3:$H$65,2,FALSE()))</f>
        <v/>
      </c>
      <c r="J467" s="35" t="str">
        <f>IF(ISBLANK(A467),"",VLOOKUP(C467,RELACIONES!$A$3:$B$70,2,FALSE))</f>
        <v/>
      </c>
      <c r="K467" s="35" t="str">
        <f>IF(ISBLANK(A467),"",VLOOKUP(J467,RELACIONES!$B$3:$E$83,4,FALSE)*E467)</f>
        <v/>
      </c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34" t="str">
        <f>IF(ISBLANK(A468),"",VLOOKUP(A468,RELACIONES!$G$3:$H$65,2,FALSE()))</f>
        <v/>
      </c>
      <c r="J468" s="35" t="str">
        <f>IF(ISBLANK(A468),"",VLOOKUP(C468,RELACIONES!$A$3:$B$70,2,FALSE))</f>
        <v/>
      </c>
      <c r="K468" s="35" t="str">
        <f>IF(ISBLANK(A468),"",VLOOKUP(J468,RELACIONES!$B$3:$E$83,4,FALSE)*E468)</f>
        <v/>
      </c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34" t="str">
        <f>IF(ISBLANK(A469),"",VLOOKUP(A469,RELACIONES!$G$3:$H$65,2,FALSE()))</f>
        <v/>
      </c>
      <c r="J469" s="35" t="str">
        <f>IF(ISBLANK(A469),"",VLOOKUP(C469,RELACIONES!$A$3:$B$70,2,FALSE))</f>
        <v/>
      </c>
      <c r="K469" s="35" t="str">
        <f>IF(ISBLANK(A469),"",VLOOKUP(J469,RELACIONES!$B$3:$E$83,4,FALSE)*E469)</f>
        <v/>
      </c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34" t="str">
        <f>IF(ISBLANK(A470),"",VLOOKUP(A470,RELACIONES!$G$3:$H$65,2,FALSE()))</f>
        <v/>
      </c>
      <c r="J470" s="35" t="str">
        <f>IF(ISBLANK(A470),"",VLOOKUP(C470,RELACIONES!$A$3:$B$70,2,FALSE))</f>
        <v/>
      </c>
      <c r="K470" s="35" t="str">
        <f>IF(ISBLANK(A470),"",VLOOKUP(J470,RELACIONES!$B$3:$E$83,4,FALSE)*E470)</f>
        <v/>
      </c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34" t="str">
        <f>IF(ISBLANK(A471),"",VLOOKUP(A471,RELACIONES!$G$3:$H$65,2,FALSE()))</f>
        <v/>
      </c>
      <c r="J471" s="35" t="str">
        <f>IF(ISBLANK(A471),"",VLOOKUP(C471,RELACIONES!$A$3:$B$70,2,FALSE))</f>
        <v/>
      </c>
      <c r="K471" s="35" t="str">
        <f>IF(ISBLANK(A471),"",VLOOKUP(J471,RELACIONES!$B$3:$E$83,4,FALSE)*E471)</f>
        <v/>
      </c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34" t="str">
        <f>IF(ISBLANK(A472),"",VLOOKUP(A472,RELACIONES!$G$3:$H$65,2,FALSE()))</f>
        <v/>
      </c>
      <c r="J472" s="35" t="str">
        <f>IF(ISBLANK(A472),"",VLOOKUP(C472,RELACIONES!$A$3:$B$70,2,FALSE))</f>
        <v/>
      </c>
      <c r="K472" s="35" t="str">
        <f>IF(ISBLANK(A472),"",VLOOKUP(J472,RELACIONES!$B$3:$E$83,4,FALSE)*E472)</f>
        <v/>
      </c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34" t="str">
        <f>IF(ISBLANK(A473),"",VLOOKUP(A473,RELACIONES!$G$3:$H$65,2,FALSE()))</f>
        <v/>
      </c>
      <c r="J473" s="35" t="str">
        <f>IF(ISBLANK(A473),"",VLOOKUP(C473,RELACIONES!$A$3:$B$70,2,FALSE))</f>
        <v/>
      </c>
      <c r="K473" s="35" t="str">
        <f>IF(ISBLANK(A473),"",VLOOKUP(J473,RELACIONES!$B$3:$E$83,4,FALSE)*E473)</f>
        <v/>
      </c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34" t="str">
        <f>IF(ISBLANK(A474),"",VLOOKUP(A474,RELACIONES!$G$3:$H$65,2,FALSE()))</f>
        <v/>
      </c>
      <c r="J474" s="35" t="str">
        <f>IF(ISBLANK(A474),"",VLOOKUP(C474,RELACIONES!$A$3:$B$70,2,FALSE))</f>
        <v/>
      </c>
      <c r="K474" s="35" t="str">
        <f>IF(ISBLANK(A474),"",VLOOKUP(J474,RELACIONES!$B$3:$E$83,4,FALSE)*E474)</f>
        <v/>
      </c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34" t="str">
        <f>IF(ISBLANK(A475),"",VLOOKUP(A475,RELACIONES!$G$3:$H$65,2,FALSE()))</f>
        <v/>
      </c>
      <c r="J475" s="35" t="str">
        <f>IF(ISBLANK(A475),"",VLOOKUP(C475,RELACIONES!$A$3:$B$70,2,FALSE))</f>
        <v/>
      </c>
      <c r="K475" s="35" t="str">
        <f>IF(ISBLANK(A475),"",VLOOKUP(J475,RELACIONES!$B$3:$E$83,4,FALSE)*E475)</f>
        <v/>
      </c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34" t="str">
        <f>IF(ISBLANK(A476),"",VLOOKUP(A476,RELACIONES!$G$3:$H$65,2,FALSE()))</f>
        <v/>
      </c>
      <c r="J476" s="35" t="str">
        <f>IF(ISBLANK(A476),"",VLOOKUP(C476,RELACIONES!$A$3:$B$70,2,FALSE))</f>
        <v/>
      </c>
      <c r="K476" s="35" t="str">
        <f>IF(ISBLANK(A476),"",VLOOKUP(J476,RELACIONES!$B$3:$E$83,4,FALSE)*E476)</f>
        <v/>
      </c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34" t="str">
        <f>IF(ISBLANK(A477),"",VLOOKUP(A477,RELACIONES!$G$3:$H$65,2,FALSE()))</f>
        <v/>
      </c>
      <c r="J477" s="35" t="str">
        <f>IF(ISBLANK(A477),"",VLOOKUP(C477,RELACIONES!$A$3:$B$70,2,FALSE))</f>
        <v/>
      </c>
      <c r="K477" s="35" t="str">
        <f>IF(ISBLANK(A477),"",VLOOKUP(J477,RELACIONES!$B$3:$E$83,4,FALSE)*E477)</f>
        <v/>
      </c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34" t="str">
        <f>IF(ISBLANK(A478),"",VLOOKUP(A478,RELACIONES!$G$3:$H$65,2,FALSE()))</f>
        <v/>
      </c>
      <c r="J478" s="35" t="str">
        <f>IF(ISBLANK(A478),"",VLOOKUP(C478,RELACIONES!$A$3:$B$70,2,FALSE))</f>
        <v/>
      </c>
      <c r="K478" s="35" t="str">
        <f>IF(ISBLANK(A478),"",VLOOKUP(J478,RELACIONES!$B$3:$E$83,4,FALSE)*E478)</f>
        <v/>
      </c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34" t="str">
        <f>IF(ISBLANK(A479),"",VLOOKUP(A479,RELACIONES!$G$3:$H$65,2,FALSE()))</f>
        <v/>
      </c>
      <c r="J479" s="35" t="str">
        <f>IF(ISBLANK(A479),"",VLOOKUP(C479,RELACIONES!$A$3:$B$70,2,FALSE))</f>
        <v/>
      </c>
      <c r="K479" s="35" t="str">
        <f>IF(ISBLANK(A479),"",VLOOKUP(J479,RELACIONES!$B$3:$E$83,4,FALSE)*E479)</f>
        <v/>
      </c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34" t="str">
        <f>IF(ISBLANK(A480),"",VLOOKUP(A480,RELACIONES!$G$3:$H$65,2,FALSE()))</f>
        <v/>
      </c>
      <c r="J480" s="35" t="str">
        <f>IF(ISBLANK(A480),"",VLOOKUP(C480,RELACIONES!$A$3:$B$70,2,FALSE))</f>
        <v/>
      </c>
      <c r="K480" s="35" t="str">
        <f>IF(ISBLANK(A480),"",VLOOKUP(J480,RELACIONES!$B$3:$E$83,4,FALSE)*E480)</f>
        <v/>
      </c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34" t="str">
        <f>IF(ISBLANK(A481),"",VLOOKUP(A481,RELACIONES!$G$3:$H$65,2,FALSE()))</f>
        <v/>
      </c>
      <c r="J481" s="35" t="str">
        <f>IF(ISBLANK(A481),"",VLOOKUP(C481,RELACIONES!$A$3:$B$70,2,FALSE))</f>
        <v/>
      </c>
      <c r="K481" s="35" t="str">
        <f>IF(ISBLANK(A481),"",VLOOKUP(J481,RELACIONES!$B$3:$E$83,4,FALSE)*E481)</f>
        <v/>
      </c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34" t="str">
        <f>IF(ISBLANK(A482),"",VLOOKUP(A482,RELACIONES!$G$3:$H$65,2,FALSE()))</f>
        <v/>
      </c>
      <c r="J482" s="35" t="str">
        <f>IF(ISBLANK(A482),"",VLOOKUP(C482,RELACIONES!$A$3:$B$70,2,FALSE))</f>
        <v/>
      </c>
      <c r="K482" s="35" t="str">
        <f>IF(ISBLANK(A482),"",VLOOKUP(J482,RELACIONES!$B$3:$E$83,4,FALSE)*E482)</f>
        <v/>
      </c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34" t="str">
        <f>IF(ISBLANK(A483),"",VLOOKUP(A483,RELACIONES!$G$3:$H$65,2,FALSE()))</f>
        <v/>
      </c>
      <c r="J483" s="35" t="str">
        <f>IF(ISBLANK(A483),"",VLOOKUP(C483,RELACIONES!$A$3:$B$70,2,FALSE))</f>
        <v/>
      </c>
      <c r="K483" s="35" t="str">
        <f>IF(ISBLANK(A483),"",VLOOKUP(J483,RELACIONES!$B$3:$E$83,4,FALSE)*E483)</f>
        <v/>
      </c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34" t="str">
        <f>IF(ISBLANK(A484),"",VLOOKUP(A484,RELACIONES!$G$3:$H$65,2,FALSE()))</f>
        <v/>
      </c>
      <c r="J484" s="35" t="str">
        <f>IF(ISBLANK(A484),"",VLOOKUP(C484,RELACIONES!$A$3:$B$70,2,FALSE))</f>
        <v/>
      </c>
      <c r="K484" s="35" t="str">
        <f>IF(ISBLANK(A484),"",VLOOKUP(J484,RELACIONES!$B$3:$E$83,4,FALSE)*E484)</f>
        <v/>
      </c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34" t="str">
        <f>IF(ISBLANK(A485),"",VLOOKUP(A485,RELACIONES!$G$3:$H$65,2,FALSE()))</f>
        <v/>
      </c>
      <c r="J485" s="35" t="str">
        <f>IF(ISBLANK(A485),"",VLOOKUP(C485,RELACIONES!$A$3:$B$70,2,FALSE))</f>
        <v/>
      </c>
      <c r="K485" s="35" t="str">
        <f>IF(ISBLANK(A485),"",VLOOKUP(J485,RELACIONES!$B$3:$E$83,4,FALSE)*E485)</f>
        <v/>
      </c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34" t="str">
        <f>IF(ISBLANK(A486),"",VLOOKUP(A486,RELACIONES!$G$3:$H$65,2,FALSE()))</f>
        <v/>
      </c>
      <c r="J486" s="35" t="str">
        <f>IF(ISBLANK(A486),"",VLOOKUP(C486,RELACIONES!$A$3:$B$70,2,FALSE))</f>
        <v/>
      </c>
      <c r="K486" s="35" t="str">
        <f>IF(ISBLANK(A486),"",VLOOKUP(J486,RELACIONES!$B$3:$E$83,4,FALSE)*E486)</f>
        <v/>
      </c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34" t="str">
        <f>IF(ISBLANK(A487),"",VLOOKUP(A487,RELACIONES!$G$3:$H$65,2,FALSE()))</f>
        <v/>
      </c>
      <c r="J487" s="35" t="str">
        <f>IF(ISBLANK(A487),"",VLOOKUP(C487,RELACIONES!$A$3:$B$70,2,FALSE))</f>
        <v/>
      </c>
      <c r="K487" s="35" t="str">
        <f>IF(ISBLANK(A487),"",VLOOKUP(J487,RELACIONES!$B$3:$E$83,4,FALSE)*E487)</f>
        <v/>
      </c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34" t="str">
        <f>IF(ISBLANK(A488),"",VLOOKUP(A488,RELACIONES!$G$3:$H$65,2,FALSE()))</f>
        <v/>
      </c>
      <c r="J488" s="35" t="str">
        <f>IF(ISBLANK(A488),"",VLOOKUP(C488,RELACIONES!$A$3:$B$70,2,FALSE))</f>
        <v/>
      </c>
      <c r="K488" s="35" t="str">
        <f>IF(ISBLANK(A488),"",VLOOKUP(J488,RELACIONES!$B$3:$E$83,4,FALSE)*E488)</f>
        <v/>
      </c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34" t="str">
        <f>IF(ISBLANK(A489),"",VLOOKUP(A489,RELACIONES!$G$3:$H$65,2,FALSE()))</f>
        <v/>
      </c>
      <c r="J489" s="35" t="str">
        <f>IF(ISBLANK(A489),"",VLOOKUP(C489,RELACIONES!$A$3:$B$70,2,FALSE))</f>
        <v/>
      </c>
      <c r="K489" s="35" t="str">
        <f>IF(ISBLANK(A489),"",VLOOKUP(J489,RELACIONES!$B$3:$E$83,4,FALSE)*E489)</f>
        <v/>
      </c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34" t="str">
        <f>IF(ISBLANK(A490),"",VLOOKUP(A490,RELACIONES!$G$3:$H$65,2,FALSE()))</f>
        <v/>
      </c>
      <c r="J490" s="35" t="str">
        <f>IF(ISBLANK(A490),"",VLOOKUP(C490,RELACIONES!$A$3:$B$70,2,FALSE))</f>
        <v/>
      </c>
      <c r="K490" s="35" t="str">
        <f>IF(ISBLANK(A490),"",VLOOKUP(J490,RELACIONES!$B$3:$E$83,4,FALSE)*E490)</f>
        <v/>
      </c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34" t="str">
        <f>IF(ISBLANK(A491),"",VLOOKUP(A491,RELACIONES!$G$3:$H$65,2,FALSE()))</f>
        <v/>
      </c>
      <c r="J491" s="35" t="str">
        <f>IF(ISBLANK(A491),"",VLOOKUP(C491,RELACIONES!$A$3:$B$70,2,FALSE))</f>
        <v/>
      </c>
      <c r="K491" s="35" t="str">
        <f>IF(ISBLANK(A491),"",VLOOKUP(J491,RELACIONES!$B$3:$E$83,4,FALSE)*E491)</f>
        <v/>
      </c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34" t="str">
        <f>IF(ISBLANK(A492),"",VLOOKUP(A492,RELACIONES!$G$3:$H$65,2,FALSE()))</f>
        <v/>
      </c>
      <c r="J492" s="35" t="str">
        <f>IF(ISBLANK(A492),"",VLOOKUP(C492,RELACIONES!$A$3:$B$70,2,FALSE))</f>
        <v/>
      </c>
      <c r="K492" s="35" t="str">
        <f>IF(ISBLANK(A492),"",VLOOKUP(J492,RELACIONES!$B$3:$E$83,4,FALSE)*E492)</f>
        <v/>
      </c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34" t="str">
        <f>IF(ISBLANK(A493),"",VLOOKUP(A493,RELACIONES!$G$3:$H$65,2,FALSE()))</f>
        <v/>
      </c>
      <c r="J493" s="35" t="str">
        <f>IF(ISBLANK(A493),"",VLOOKUP(C493,RELACIONES!$A$3:$B$70,2,FALSE))</f>
        <v/>
      </c>
      <c r="K493" s="35" t="str">
        <f>IF(ISBLANK(A493),"",VLOOKUP(J493,RELACIONES!$B$3:$E$83,4,FALSE)*E493)</f>
        <v/>
      </c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34" t="str">
        <f>IF(ISBLANK(A494),"",VLOOKUP(A494,RELACIONES!$G$3:$H$65,2,FALSE()))</f>
        <v/>
      </c>
      <c r="J494" s="35" t="str">
        <f>IF(ISBLANK(A494),"",VLOOKUP(C494,RELACIONES!$A$3:$B$70,2,FALSE))</f>
        <v/>
      </c>
      <c r="K494" s="35" t="str">
        <f>IF(ISBLANK(A494),"",VLOOKUP(J494,RELACIONES!$B$3:$E$83,4,FALSE)*E494)</f>
        <v/>
      </c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34" t="str">
        <f>IF(ISBLANK(A495),"",VLOOKUP(A495,RELACIONES!$G$3:$H$65,2,FALSE()))</f>
        <v/>
      </c>
      <c r="J495" s="35" t="str">
        <f>IF(ISBLANK(A495),"",VLOOKUP(C495,RELACIONES!$A$3:$B$70,2,FALSE))</f>
        <v/>
      </c>
      <c r="K495" s="35" t="str">
        <f>IF(ISBLANK(A495),"",VLOOKUP(J495,RELACIONES!$B$3:$E$83,4,FALSE)*E495)</f>
        <v/>
      </c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34" t="str">
        <f>IF(ISBLANK(A496),"",VLOOKUP(A496,RELACIONES!$G$3:$H$65,2,FALSE()))</f>
        <v/>
      </c>
      <c r="J496" s="35" t="str">
        <f>IF(ISBLANK(A496),"",VLOOKUP(C496,RELACIONES!$A$3:$B$70,2,FALSE))</f>
        <v/>
      </c>
      <c r="K496" s="35" t="str">
        <f>IF(ISBLANK(A496),"",VLOOKUP(J496,RELACIONES!$B$3:$E$83,4,FALSE)*E496)</f>
        <v/>
      </c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34" t="str">
        <f>IF(ISBLANK(A497),"",VLOOKUP(A497,RELACIONES!$G$3:$H$65,2,FALSE()))</f>
        <v/>
      </c>
      <c r="J497" s="35" t="str">
        <f>IF(ISBLANK(A497),"",VLOOKUP(C497,RELACIONES!$A$3:$B$70,2,FALSE))</f>
        <v/>
      </c>
      <c r="K497" s="35" t="str">
        <f>IF(ISBLANK(A497),"",VLOOKUP(J497,RELACIONES!$B$3:$E$83,4,FALSE)*E497)</f>
        <v/>
      </c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34" t="str">
        <f>IF(ISBLANK(A498),"",VLOOKUP(A498,RELACIONES!$G$3:$H$65,2,FALSE()))</f>
        <v/>
      </c>
      <c r="J498" s="35" t="str">
        <f>IF(ISBLANK(A498),"",VLOOKUP(C498,RELACIONES!$A$3:$B$70,2,FALSE))</f>
        <v/>
      </c>
      <c r="K498" s="35" t="str">
        <f>IF(ISBLANK(A498),"",VLOOKUP(J498,RELACIONES!$B$3:$E$83,4,FALSE)*E498)</f>
        <v/>
      </c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34" t="str">
        <f>IF(ISBLANK(A499),"",VLOOKUP(A499,RELACIONES!$G$3:$H$65,2,FALSE()))</f>
        <v/>
      </c>
      <c r="J499" s="35" t="str">
        <f>IF(ISBLANK(A499),"",VLOOKUP(C499,RELACIONES!$A$3:$B$70,2,FALSE))</f>
        <v/>
      </c>
      <c r="K499" s="35" t="str">
        <f>IF(ISBLANK(A499),"",VLOOKUP(J499,RELACIONES!$B$3:$E$83,4,FALSE)*E499)</f>
        <v/>
      </c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34" t="str">
        <f>IF(ISBLANK(A500),"",VLOOKUP(A500,RELACIONES!$G$3:$H$65,2,FALSE()))</f>
        <v/>
      </c>
      <c r="J500" s="35" t="str">
        <f>IF(ISBLANK(A500),"",VLOOKUP(C500,RELACIONES!$A$3:$B$70,2,FALSE))</f>
        <v/>
      </c>
      <c r="K500" s="35" t="str">
        <f>IF(ISBLANK(A500),"",VLOOKUP(J500,RELACIONES!$B$3:$E$83,4,FALSE)*E500)</f>
        <v/>
      </c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34" t="str">
        <f>IF(ISBLANK(A501),"",VLOOKUP(A501,RELACIONES!$G$3:$H$65,2,FALSE()))</f>
        <v/>
      </c>
      <c r="J501" s="35" t="str">
        <f>IF(ISBLANK(A501),"",VLOOKUP(C501,RELACIONES!$A$3:$B$70,2,FALSE))</f>
        <v/>
      </c>
      <c r="K501" s="35" t="str">
        <f>IF(ISBLANK(A501),"",VLOOKUP(J501,RELACIONES!$B$3:$E$83,4,FALSE)*E501)</f>
        <v/>
      </c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34" t="str">
        <f>IF(ISBLANK(A502),"",VLOOKUP(A502,RELACIONES!$G$3:$H$65,2,FALSE()))</f>
        <v/>
      </c>
      <c r="J502" s="35" t="str">
        <f>IF(ISBLANK(A502),"",VLOOKUP(C502,RELACIONES!$A$3:$B$70,2,FALSE))</f>
        <v/>
      </c>
      <c r="K502" s="35" t="str">
        <f>IF(ISBLANK(A502),"",VLOOKUP(J502,RELACIONES!$B$3:$E$83,4,FALSE)*E502)</f>
        <v/>
      </c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34" t="str">
        <f>IF(ISBLANK(A503),"",VLOOKUP(A503,RELACIONES!$G$3:$H$65,2,FALSE()))</f>
        <v/>
      </c>
      <c r="J503" s="35" t="str">
        <f>IF(ISBLANK(A503),"",VLOOKUP(C503,RELACIONES!$A$3:$B$70,2,FALSE))</f>
        <v/>
      </c>
      <c r="K503" s="35" t="str">
        <f>IF(ISBLANK(A503),"",VLOOKUP(J503,RELACIONES!$B$3:$E$83,4,FALSE)*E503)</f>
        <v/>
      </c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34" t="str">
        <f>IF(ISBLANK(A504),"",VLOOKUP(A504,RELACIONES!$G$3:$H$65,2,FALSE()))</f>
        <v/>
      </c>
      <c r="J504" s="35" t="str">
        <f>IF(ISBLANK(A504),"",VLOOKUP(C504,RELACIONES!$A$3:$B$70,2,FALSE))</f>
        <v/>
      </c>
      <c r="K504" s="35" t="str">
        <f>IF(ISBLANK(A504),"",VLOOKUP(J504,RELACIONES!$B$3:$E$83,4,FALSE)*E504)</f>
        <v/>
      </c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34" t="str">
        <f>IF(ISBLANK(A505),"",VLOOKUP(A505,RELACIONES!$G$3:$H$65,2,FALSE()))</f>
        <v/>
      </c>
      <c r="J505" s="35" t="str">
        <f>IF(ISBLANK(A505),"",VLOOKUP(C505,RELACIONES!$A$3:$B$70,2,FALSE))</f>
        <v/>
      </c>
      <c r="K505" s="35" t="str">
        <f>IF(ISBLANK(A505),"",VLOOKUP(J505,RELACIONES!$B$3:$E$83,4,FALSE)*E505)</f>
        <v/>
      </c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34" t="str">
        <f>IF(ISBLANK(A506),"",VLOOKUP(A506,RELACIONES!$G$3:$H$65,2,FALSE()))</f>
        <v/>
      </c>
      <c r="J506" s="35" t="str">
        <f>IF(ISBLANK(A506),"",VLOOKUP(C506,RELACIONES!$A$3:$B$70,2,FALSE))</f>
        <v/>
      </c>
      <c r="K506" s="35" t="str">
        <f>IF(ISBLANK(A506),"",VLOOKUP(J506,RELACIONES!$B$3:$E$83,4,FALSE)*E506)</f>
        <v/>
      </c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34" t="str">
        <f>IF(ISBLANK(A507),"",VLOOKUP(A507,RELACIONES!$G$3:$H$65,2,FALSE()))</f>
        <v/>
      </c>
      <c r="J507" s="35" t="str">
        <f>IF(ISBLANK(A507),"",VLOOKUP(C507,RELACIONES!$A$3:$B$70,2,FALSE))</f>
        <v/>
      </c>
      <c r="K507" s="35" t="str">
        <f>IF(ISBLANK(A507),"",VLOOKUP(J507,RELACIONES!$B$3:$E$83,4,FALSE)*E507)</f>
        <v/>
      </c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34" t="str">
        <f>IF(ISBLANK(A508),"",VLOOKUP(A508,RELACIONES!$G$3:$H$65,2,FALSE()))</f>
        <v/>
      </c>
      <c r="J508" s="35" t="str">
        <f>IF(ISBLANK(A508),"",VLOOKUP(C508,RELACIONES!$A$3:$B$70,2,FALSE))</f>
        <v/>
      </c>
      <c r="K508" s="35" t="str">
        <f>IF(ISBLANK(A508),"",VLOOKUP(J508,RELACIONES!$B$3:$E$83,4,FALSE)*E508)</f>
        <v/>
      </c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34" t="str">
        <f>IF(ISBLANK(A509),"",VLOOKUP(A509,RELACIONES!$G$3:$H$65,2,FALSE()))</f>
        <v/>
      </c>
      <c r="J509" s="35" t="str">
        <f>IF(ISBLANK(A509),"",VLOOKUP(C509,RELACIONES!$A$3:$B$70,2,FALSE))</f>
        <v/>
      </c>
      <c r="K509" s="35" t="str">
        <f>IF(ISBLANK(A509),"",VLOOKUP(J509,RELACIONES!$B$3:$E$83,4,FALSE)*E509)</f>
        <v/>
      </c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34" t="str">
        <f>IF(ISBLANK(A510),"",VLOOKUP(A510,RELACIONES!$G$3:$H$65,2,FALSE()))</f>
        <v/>
      </c>
      <c r="J510" s="35" t="str">
        <f>IF(ISBLANK(A510),"",VLOOKUP(C510,RELACIONES!$A$3:$B$70,2,FALSE))</f>
        <v/>
      </c>
      <c r="K510" s="35" t="str">
        <f>IF(ISBLANK(A510),"",VLOOKUP(J510,RELACIONES!$B$3:$E$83,4,FALSE)*E510)</f>
        <v/>
      </c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34" t="str">
        <f>IF(ISBLANK(A511),"",VLOOKUP(A511,RELACIONES!$G$3:$H$65,2,FALSE()))</f>
        <v/>
      </c>
      <c r="J511" s="35" t="str">
        <f>IF(ISBLANK(A511),"",VLOOKUP(C511,RELACIONES!$A$3:$B$70,2,FALSE))</f>
        <v/>
      </c>
      <c r="K511" s="35" t="str">
        <f>IF(ISBLANK(A511),"",VLOOKUP(J511,RELACIONES!$B$3:$E$83,4,FALSE)*E511)</f>
        <v/>
      </c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34" t="str">
        <f>IF(ISBLANK(A512),"",VLOOKUP(A512,RELACIONES!$G$3:$H$65,2,FALSE()))</f>
        <v/>
      </c>
      <c r="J512" s="35" t="str">
        <f>IF(ISBLANK(A512),"",VLOOKUP(C512,RELACIONES!$A$3:$B$70,2,FALSE))</f>
        <v/>
      </c>
      <c r="K512" s="35" t="str">
        <f>IF(ISBLANK(A512),"",VLOOKUP(J512,RELACIONES!$B$3:$E$83,4,FALSE)*E512)</f>
        <v/>
      </c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34" t="str">
        <f>IF(ISBLANK(A513),"",VLOOKUP(A513,RELACIONES!$G$3:$H$65,2,FALSE()))</f>
        <v/>
      </c>
      <c r="J513" s="35" t="str">
        <f>IF(ISBLANK(A513),"",VLOOKUP(C513,RELACIONES!$A$3:$B$70,2,FALSE))</f>
        <v/>
      </c>
      <c r="K513" s="35" t="str">
        <f>IF(ISBLANK(A513),"",VLOOKUP(J513,RELACIONES!$B$3:$E$83,4,FALSE)*E513)</f>
        <v/>
      </c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34" t="str">
        <f>IF(ISBLANK(A514),"",VLOOKUP(A514,RELACIONES!$G$3:$H$65,2,FALSE()))</f>
        <v/>
      </c>
      <c r="J514" s="35" t="str">
        <f>IF(ISBLANK(A514),"",VLOOKUP(C514,RELACIONES!$A$3:$B$70,2,FALSE))</f>
        <v/>
      </c>
      <c r="K514" s="35" t="str">
        <f>IF(ISBLANK(A514),"",VLOOKUP(J514,RELACIONES!$B$3:$E$83,4,FALSE)*E514)</f>
        <v/>
      </c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34" t="str">
        <f>IF(ISBLANK(A515),"",VLOOKUP(A515,RELACIONES!$G$3:$H$65,2,FALSE()))</f>
        <v/>
      </c>
      <c r="J515" s="35" t="str">
        <f>IF(ISBLANK(A515),"",VLOOKUP(C515,RELACIONES!$A$3:$B$70,2,FALSE))</f>
        <v/>
      </c>
      <c r="K515" s="35" t="str">
        <f>IF(ISBLANK(A515),"",VLOOKUP(J515,RELACIONES!$B$3:$E$83,4,FALSE)*E515)</f>
        <v/>
      </c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34" t="str">
        <f>IF(ISBLANK(A516),"",VLOOKUP(A516,RELACIONES!$G$3:$H$65,2,FALSE()))</f>
        <v/>
      </c>
      <c r="J516" s="35" t="str">
        <f>IF(ISBLANK(A516),"",VLOOKUP(C516,RELACIONES!$A$3:$B$70,2,FALSE))</f>
        <v/>
      </c>
      <c r="K516" s="35" t="str">
        <f>IF(ISBLANK(A516),"",VLOOKUP(J516,RELACIONES!$B$3:$E$83,4,FALSE)*E516)</f>
        <v/>
      </c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34" t="str">
        <f>IF(ISBLANK(A517),"",VLOOKUP(A517,RELACIONES!$G$3:$H$65,2,FALSE()))</f>
        <v/>
      </c>
      <c r="J517" s="35" t="str">
        <f>IF(ISBLANK(A517),"",VLOOKUP(C517,RELACIONES!$A$3:$B$70,2,FALSE))</f>
        <v/>
      </c>
      <c r="K517" s="35" t="str">
        <f>IF(ISBLANK(A517),"",VLOOKUP(J517,RELACIONES!$B$3:$E$83,4,FALSE)*E517)</f>
        <v/>
      </c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34" t="str">
        <f>IF(ISBLANK(A518),"",VLOOKUP(A518,RELACIONES!$G$3:$H$65,2,FALSE()))</f>
        <v/>
      </c>
      <c r="J518" s="35" t="str">
        <f>IF(ISBLANK(A518),"",VLOOKUP(C518,RELACIONES!$A$3:$B$70,2,FALSE))</f>
        <v/>
      </c>
      <c r="K518" s="35" t="str">
        <f>IF(ISBLANK(A518),"",VLOOKUP(J518,RELACIONES!$B$3:$E$83,4,FALSE)*E518)</f>
        <v/>
      </c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34" t="str">
        <f>IF(ISBLANK(A519),"",VLOOKUP(A519,RELACIONES!$G$3:$H$65,2,FALSE()))</f>
        <v/>
      </c>
      <c r="J519" s="35" t="str">
        <f>IF(ISBLANK(A519),"",VLOOKUP(C519,RELACIONES!$A$3:$B$70,2,FALSE))</f>
        <v/>
      </c>
      <c r="K519" s="35" t="str">
        <f>IF(ISBLANK(A519),"",VLOOKUP(J519,RELACIONES!$B$3:$E$83,4,FALSE)*E519)</f>
        <v/>
      </c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34" t="str">
        <f>IF(ISBLANK(A520),"",VLOOKUP(A520,RELACIONES!$G$3:$H$65,2,FALSE()))</f>
        <v/>
      </c>
      <c r="J520" s="35" t="str">
        <f>IF(ISBLANK(A520),"",VLOOKUP(C520,RELACIONES!$A$3:$B$70,2,FALSE))</f>
        <v/>
      </c>
      <c r="K520" s="35" t="str">
        <f>IF(ISBLANK(A520),"",VLOOKUP(J520,RELACIONES!$B$3:$E$83,4,FALSE)*E520)</f>
        <v/>
      </c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34" t="str">
        <f>IF(ISBLANK(A521),"",VLOOKUP(A521,RELACIONES!$G$3:$H$65,2,FALSE()))</f>
        <v/>
      </c>
      <c r="J521" s="35" t="str">
        <f>IF(ISBLANK(A521),"",VLOOKUP(C521,RELACIONES!$A$3:$B$70,2,FALSE))</f>
        <v/>
      </c>
      <c r="K521" s="35" t="str">
        <f>IF(ISBLANK(A521),"",VLOOKUP(J521,RELACIONES!$B$3:$E$83,4,FALSE)*E521)</f>
        <v/>
      </c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34" t="str">
        <f>IF(ISBLANK(A522),"",VLOOKUP(A522,RELACIONES!$G$3:$H$65,2,FALSE()))</f>
        <v/>
      </c>
      <c r="J522" s="35" t="str">
        <f>IF(ISBLANK(A522),"",VLOOKUP(C522,RELACIONES!$A$3:$B$70,2,FALSE))</f>
        <v/>
      </c>
      <c r="K522" s="35" t="str">
        <f>IF(ISBLANK(A522),"",VLOOKUP(J522,RELACIONES!$B$3:$E$83,4,FALSE)*E522)</f>
        <v/>
      </c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34" t="str">
        <f>IF(ISBLANK(A523),"",VLOOKUP(A523,RELACIONES!$G$3:$H$65,2,FALSE()))</f>
        <v/>
      </c>
      <c r="J523" s="35" t="str">
        <f>IF(ISBLANK(A523),"",VLOOKUP(C523,RELACIONES!$A$3:$B$70,2,FALSE))</f>
        <v/>
      </c>
      <c r="K523" s="35" t="str">
        <f>IF(ISBLANK(A523),"",VLOOKUP(J523,RELACIONES!$B$3:$E$83,4,FALSE)*E523)</f>
        <v/>
      </c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34" t="str">
        <f>IF(ISBLANK(A524),"",VLOOKUP(A524,RELACIONES!$G$3:$H$65,2,FALSE()))</f>
        <v/>
      </c>
      <c r="J524" s="35" t="str">
        <f>IF(ISBLANK(A524),"",VLOOKUP(C524,RELACIONES!$A$3:$B$70,2,FALSE))</f>
        <v/>
      </c>
      <c r="K524" s="35" t="str">
        <f>IF(ISBLANK(A524),"",VLOOKUP(J524,RELACIONES!$B$3:$E$83,4,FALSE)*E524)</f>
        <v/>
      </c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34" t="str">
        <f>IF(ISBLANK(A525),"",VLOOKUP(A525,RELACIONES!$G$3:$H$65,2,FALSE()))</f>
        <v/>
      </c>
      <c r="J525" s="35" t="str">
        <f>IF(ISBLANK(A525),"",VLOOKUP(C525,RELACIONES!$A$3:$B$70,2,FALSE))</f>
        <v/>
      </c>
      <c r="K525" s="35" t="str">
        <f>IF(ISBLANK(A525),"",VLOOKUP(J525,RELACIONES!$B$3:$E$83,4,FALSE)*E525)</f>
        <v/>
      </c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34" t="str">
        <f>IF(ISBLANK(A526),"",VLOOKUP(A526,RELACIONES!$G$3:$H$65,2,FALSE()))</f>
        <v/>
      </c>
      <c r="J526" s="35" t="str">
        <f>IF(ISBLANK(A526),"",VLOOKUP(C526,RELACIONES!$A$3:$B$70,2,FALSE))</f>
        <v/>
      </c>
      <c r="K526" s="35" t="str">
        <f>IF(ISBLANK(A526),"",VLOOKUP(J526,RELACIONES!$B$3:$E$83,4,FALSE)*E526)</f>
        <v/>
      </c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34" t="str">
        <f>IF(ISBLANK(A527),"",VLOOKUP(A527,RELACIONES!$G$3:$H$65,2,FALSE()))</f>
        <v/>
      </c>
      <c r="J527" s="35" t="str">
        <f>IF(ISBLANK(A527),"",VLOOKUP(C527,RELACIONES!$A$3:$B$70,2,FALSE))</f>
        <v/>
      </c>
      <c r="K527" s="35" t="str">
        <f>IF(ISBLANK(A527),"",VLOOKUP(J527,RELACIONES!$B$3:$E$83,4,FALSE)*E527)</f>
        <v/>
      </c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34" t="str">
        <f>IF(ISBLANK(A528),"",VLOOKUP(A528,RELACIONES!$G$3:$H$65,2,FALSE()))</f>
        <v/>
      </c>
      <c r="J528" s="35" t="str">
        <f>IF(ISBLANK(A528),"",VLOOKUP(C528,RELACIONES!$A$3:$B$70,2,FALSE))</f>
        <v/>
      </c>
      <c r="K528" s="35" t="str">
        <f>IF(ISBLANK(A528),"",VLOOKUP(J528,RELACIONES!$B$3:$E$83,4,FALSE)*E528)</f>
        <v/>
      </c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34" t="str">
        <f>IF(ISBLANK(A529),"",VLOOKUP(A529,RELACIONES!$G$3:$H$65,2,FALSE()))</f>
        <v/>
      </c>
      <c r="J529" s="35" t="str">
        <f>IF(ISBLANK(A529),"",VLOOKUP(C529,RELACIONES!$A$3:$B$70,2,FALSE))</f>
        <v/>
      </c>
      <c r="K529" s="35" t="str">
        <f>IF(ISBLANK(A529),"",VLOOKUP(J529,RELACIONES!$B$3:$E$83,4,FALSE)*E529)</f>
        <v/>
      </c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34" t="str">
        <f>IF(ISBLANK(A530),"",VLOOKUP(A530,RELACIONES!$G$3:$H$65,2,FALSE()))</f>
        <v/>
      </c>
      <c r="J530" s="35" t="str">
        <f>IF(ISBLANK(A530),"",VLOOKUP(C530,RELACIONES!$A$3:$B$70,2,FALSE))</f>
        <v/>
      </c>
      <c r="K530" s="35" t="str">
        <f>IF(ISBLANK(A530),"",VLOOKUP(J530,RELACIONES!$B$3:$E$83,4,FALSE)*E530)</f>
        <v/>
      </c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34" t="str">
        <f>IF(ISBLANK(A531),"",VLOOKUP(A531,RELACIONES!$G$3:$H$65,2,FALSE()))</f>
        <v/>
      </c>
      <c r="J531" s="35" t="str">
        <f>IF(ISBLANK(A531),"",VLOOKUP(C531,RELACIONES!$A$3:$B$70,2,FALSE))</f>
        <v/>
      </c>
      <c r="K531" s="35" t="str">
        <f>IF(ISBLANK(A531),"",VLOOKUP(J531,RELACIONES!$B$3:$E$83,4,FALSE)*E531)</f>
        <v/>
      </c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34" t="str">
        <f>IF(ISBLANK(A532),"",VLOOKUP(A532,RELACIONES!$G$3:$H$65,2,FALSE()))</f>
        <v/>
      </c>
      <c r="J532" s="35" t="str">
        <f>IF(ISBLANK(A532),"",VLOOKUP(C532,RELACIONES!$A$3:$B$70,2,FALSE))</f>
        <v/>
      </c>
      <c r="K532" s="35" t="str">
        <f>IF(ISBLANK(A532),"",VLOOKUP(J532,RELACIONES!$B$3:$E$83,4,FALSE)*E532)</f>
        <v/>
      </c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34" t="str">
        <f>IF(ISBLANK(A533),"",VLOOKUP(A533,RELACIONES!$G$3:$H$65,2,FALSE()))</f>
        <v/>
      </c>
      <c r="J533" s="35" t="str">
        <f>IF(ISBLANK(A533),"",VLOOKUP(C533,RELACIONES!$A$3:$B$70,2,FALSE))</f>
        <v/>
      </c>
      <c r="K533" s="35" t="str">
        <f>IF(ISBLANK(A533),"",VLOOKUP(J533,RELACIONES!$B$3:$E$83,4,FALSE)*E533)</f>
        <v/>
      </c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34" t="str">
        <f>IF(ISBLANK(A534),"",VLOOKUP(A534,RELACIONES!$G$3:$H$65,2,FALSE()))</f>
        <v/>
      </c>
      <c r="J534" s="35" t="str">
        <f>IF(ISBLANK(A534),"",VLOOKUP(C534,RELACIONES!$A$3:$B$70,2,FALSE))</f>
        <v/>
      </c>
      <c r="K534" s="35" t="str">
        <f>IF(ISBLANK(A534),"",VLOOKUP(J534,RELACIONES!$B$3:$E$83,4,FALSE)*E534)</f>
        <v/>
      </c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34" t="str">
        <f>IF(ISBLANK(A535),"",VLOOKUP(A535,RELACIONES!$G$3:$H$65,2,FALSE()))</f>
        <v/>
      </c>
      <c r="J535" s="35" t="str">
        <f>IF(ISBLANK(A535),"",VLOOKUP(C535,RELACIONES!$A$3:$B$70,2,FALSE))</f>
        <v/>
      </c>
      <c r="K535" s="35" t="str">
        <f>IF(ISBLANK(A535),"",VLOOKUP(J535,RELACIONES!$B$3:$E$83,4,FALSE)*E535)</f>
        <v/>
      </c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34" t="str">
        <f>IF(ISBLANK(A536),"",VLOOKUP(A536,RELACIONES!$G$3:$H$65,2,FALSE()))</f>
        <v/>
      </c>
      <c r="J536" s="35" t="str">
        <f>IF(ISBLANK(A536),"",VLOOKUP(C536,RELACIONES!$A$3:$B$70,2,FALSE))</f>
        <v/>
      </c>
      <c r="K536" s="35" t="str">
        <f>IF(ISBLANK(A536),"",VLOOKUP(J536,RELACIONES!$B$3:$E$83,4,FALSE)*E536)</f>
        <v/>
      </c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34" t="str">
        <f>IF(ISBLANK(A537),"",VLOOKUP(A537,RELACIONES!$G$3:$H$65,2,FALSE()))</f>
        <v/>
      </c>
      <c r="J537" s="35" t="str">
        <f>IF(ISBLANK(A537),"",VLOOKUP(C537,RELACIONES!$A$3:$B$70,2,FALSE))</f>
        <v/>
      </c>
      <c r="K537" s="35" t="str">
        <f>IF(ISBLANK(A537),"",VLOOKUP(J537,RELACIONES!$B$3:$E$83,4,FALSE)*E537)</f>
        <v/>
      </c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34" t="str">
        <f>IF(ISBLANK(A538),"",VLOOKUP(A538,RELACIONES!$G$3:$H$65,2,FALSE()))</f>
        <v/>
      </c>
      <c r="J538" s="35" t="str">
        <f>IF(ISBLANK(A538),"",VLOOKUP(C538,RELACIONES!$A$3:$B$70,2,FALSE))</f>
        <v/>
      </c>
      <c r="K538" s="35" t="str">
        <f>IF(ISBLANK(A538),"",VLOOKUP(J538,RELACIONES!$B$3:$E$83,4,FALSE)*E538)</f>
        <v/>
      </c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34" t="str">
        <f>IF(ISBLANK(A539),"",VLOOKUP(A539,RELACIONES!$G$3:$H$65,2,FALSE()))</f>
        <v/>
      </c>
      <c r="J539" s="35" t="str">
        <f>IF(ISBLANK(A539),"",VLOOKUP(C539,RELACIONES!$A$3:$B$70,2,FALSE))</f>
        <v/>
      </c>
      <c r="K539" s="35" t="str">
        <f>IF(ISBLANK(A539),"",VLOOKUP(J539,RELACIONES!$B$3:$E$83,4,FALSE)*E539)</f>
        <v/>
      </c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34" t="str">
        <f>IF(ISBLANK(A540),"",VLOOKUP(A540,RELACIONES!$G$3:$H$65,2,FALSE()))</f>
        <v/>
      </c>
      <c r="J540" s="35" t="str">
        <f>IF(ISBLANK(A540),"",VLOOKUP(C540,RELACIONES!$A$3:$B$70,2,FALSE))</f>
        <v/>
      </c>
      <c r="K540" s="35" t="str">
        <f>IF(ISBLANK(A540),"",VLOOKUP(J540,RELACIONES!$B$3:$E$83,4,FALSE)*E540)</f>
        <v/>
      </c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34" t="str">
        <f>IF(ISBLANK(A541),"",VLOOKUP(A541,RELACIONES!$G$3:$H$65,2,FALSE()))</f>
        <v/>
      </c>
      <c r="J541" s="35" t="str">
        <f>IF(ISBLANK(A541),"",VLOOKUP(C541,RELACIONES!$A$3:$B$70,2,FALSE))</f>
        <v/>
      </c>
      <c r="K541" s="35" t="str">
        <f>IF(ISBLANK(A541),"",VLOOKUP(J541,RELACIONES!$B$3:$E$83,4,FALSE)*E541)</f>
        <v/>
      </c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34" t="str">
        <f>IF(ISBLANK(A542),"",VLOOKUP(A542,RELACIONES!$G$3:$H$65,2,FALSE()))</f>
        <v/>
      </c>
      <c r="J542" s="35" t="str">
        <f>IF(ISBLANK(A542),"",VLOOKUP(C542,RELACIONES!$A$3:$B$70,2,FALSE))</f>
        <v/>
      </c>
      <c r="K542" s="35" t="str">
        <f>IF(ISBLANK(A542),"",VLOOKUP(J542,RELACIONES!$B$3:$E$83,4,FALSE)*E542)</f>
        <v/>
      </c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34" t="str">
        <f>IF(ISBLANK(A543),"",VLOOKUP(A543,RELACIONES!$G$3:$H$65,2,FALSE()))</f>
        <v/>
      </c>
      <c r="J543" s="35" t="str">
        <f>IF(ISBLANK(A543),"",VLOOKUP(C543,RELACIONES!$A$3:$B$70,2,FALSE))</f>
        <v/>
      </c>
      <c r="K543" s="35" t="str">
        <f>IF(ISBLANK(A543),"",VLOOKUP(J543,RELACIONES!$B$3:$E$83,4,FALSE)*E543)</f>
        <v/>
      </c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34" t="str">
        <f>IF(ISBLANK(A544),"",VLOOKUP(A544,RELACIONES!$G$3:$H$65,2,FALSE()))</f>
        <v/>
      </c>
      <c r="J544" s="35" t="str">
        <f>IF(ISBLANK(A544),"",VLOOKUP(C544,RELACIONES!$A$3:$B$70,2,FALSE))</f>
        <v/>
      </c>
      <c r="K544" s="35" t="str">
        <f>IF(ISBLANK(A544),"",VLOOKUP(J544,RELACIONES!$B$3:$E$83,4,FALSE)*E544)</f>
        <v/>
      </c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34" t="str">
        <f>IF(ISBLANK(A545),"",VLOOKUP(A545,RELACIONES!$G$3:$H$65,2,FALSE()))</f>
        <v/>
      </c>
      <c r="J545" s="35" t="str">
        <f>IF(ISBLANK(A545),"",VLOOKUP(C545,RELACIONES!$A$3:$B$70,2,FALSE))</f>
        <v/>
      </c>
      <c r="K545" s="35" t="str">
        <f>IF(ISBLANK(A545),"",VLOOKUP(J545,RELACIONES!$B$3:$E$83,4,FALSE)*E545)</f>
        <v/>
      </c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34" t="str">
        <f>IF(ISBLANK(A546),"",VLOOKUP(A546,RELACIONES!$G$3:$H$65,2,FALSE()))</f>
        <v/>
      </c>
      <c r="J546" s="35" t="str">
        <f>IF(ISBLANK(A546),"",VLOOKUP(C546,RELACIONES!$A$3:$B$70,2,FALSE))</f>
        <v/>
      </c>
      <c r="K546" s="35" t="str">
        <f>IF(ISBLANK(A546),"",VLOOKUP(J546,RELACIONES!$B$3:$E$83,4,FALSE)*E546)</f>
        <v/>
      </c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34" t="str">
        <f>IF(ISBLANK(A547),"",VLOOKUP(A547,RELACIONES!$G$3:$H$65,2,FALSE()))</f>
        <v/>
      </c>
      <c r="J547" s="35" t="str">
        <f>IF(ISBLANK(A547),"",VLOOKUP(C547,RELACIONES!$A$3:$B$70,2,FALSE))</f>
        <v/>
      </c>
      <c r="K547" s="35" t="str">
        <f>IF(ISBLANK(A547),"",VLOOKUP(J547,RELACIONES!$B$3:$E$83,4,FALSE)*E547)</f>
        <v/>
      </c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34" t="str">
        <f>IF(ISBLANK(A548),"",VLOOKUP(A548,RELACIONES!$G$3:$H$65,2,FALSE()))</f>
        <v/>
      </c>
      <c r="J548" s="35" t="str">
        <f>IF(ISBLANK(A548),"",VLOOKUP(C548,RELACIONES!$A$3:$B$70,2,FALSE))</f>
        <v/>
      </c>
      <c r="K548" s="35" t="str">
        <f>IF(ISBLANK(A548),"",VLOOKUP(J548,RELACIONES!$B$3:$E$83,4,FALSE)*E548)</f>
        <v/>
      </c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34" t="str">
        <f>IF(ISBLANK(A549),"",VLOOKUP(A549,RELACIONES!$G$3:$H$65,2,FALSE()))</f>
        <v/>
      </c>
      <c r="J549" s="35" t="str">
        <f>IF(ISBLANK(A549),"",VLOOKUP(C549,RELACIONES!$A$3:$B$70,2,FALSE))</f>
        <v/>
      </c>
      <c r="K549" s="35" t="str">
        <f>IF(ISBLANK(A549),"",VLOOKUP(J549,RELACIONES!$B$3:$E$83,4,FALSE)*E549)</f>
        <v/>
      </c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34" t="str">
        <f>IF(ISBLANK(A550),"",VLOOKUP(A550,RELACIONES!$G$3:$H$65,2,FALSE()))</f>
        <v/>
      </c>
      <c r="J550" s="35" t="str">
        <f>IF(ISBLANK(A550),"",VLOOKUP(C550,RELACIONES!$A$3:$B$70,2,FALSE))</f>
        <v/>
      </c>
      <c r="K550" s="35" t="str">
        <f>IF(ISBLANK(A550),"",VLOOKUP(J550,RELACIONES!$B$3:$E$83,4,FALSE)*E550)</f>
        <v/>
      </c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34" t="str">
        <f>IF(ISBLANK(A551),"",VLOOKUP(A551,RELACIONES!$G$3:$H$65,2,FALSE()))</f>
        <v/>
      </c>
      <c r="J551" s="35" t="str">
        <f>IF(ISBLANK(A551),"",VLOOKUP(C551,RELACIONES!$A$3:$B$70,2,FALSE))</f>
        <v/>
      </c>
      <c r="K551" s="35" t="str">
        <f>IF(ISBLANK(A551),"",VLOOKUP(J551,RELACIONES!$B$3:$E$83,4,FALSE)*E551)</f>
        <v/>
      </c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34" t="str">
        <f>IF(ISBLANK(A552),"",VLOOKUP(A552,RELACIONES!$G$3:$H$65,2,FALSE()))</f>
        <v/>
      </c>
      <c r="J552" s="35" t="str">
        <f>IF(ISBLANK(A552),"",VLOOKUP(C552,RELACIONES!$A$3:$B$70,2,FALSE))</f>
        <v/>
      </c>
      <c r="K552" s="35" t="str">
        <f>IF(ISBLANK(A552),"",VLOOKUP(J552,RELACIONES!$B$3:$E$83,4,FALSE)*E552)</f>
        <v/>
      </c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34" t="str">
        <f>IF(ISBLANK(A553),"",VLOOKUP(A553,RELACIONES!$G$3:$H$65,2,FALSE()))</f>
        <v/>
      </c>
      <c r="J553" s="35" t="str">
        <f>IF(ISBLANK(A553),"",VLOOKUP(C553,RELACIONES!$A$3:$B$70,2,FALSE))</f>
        <v/>
      </c>
      <c r="K553" s="35" t="str">
        <f>IF(ISBLANK(A553),"",VLOOKUP(J553,RELACIONES!$B$3:$E$83,4,FALSE)*E553)</f>
        <v/>
      </c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34" t="str">
        <f>IF(ISBLANK(A554),"",VLOOKUP(A554,RELACIONES!$G$3:$H$65,2,FALSE()))</f>
        <v/>
      </c>
      <c r="J554" s="35" t="str">
        <f>IF(ISBLANK(A554),"",VLOOKUP(C554,RELACIONES!$A$3:$B$70,2,FALSE))</f>
        <v/>
      </c>
      <c r="K554" s="35" t="str">
        <f>IF(ISBLANK(A554),"",VLOOKUP(J554,RELACIONES!$B$3:$E$83,4,FALSE)*E554)</f>
        <v/>
      </c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34" t="str">
        <f>IF(ISBLANK(A555),"",VLOOKUP(A555,RELACIONES!$G$3:$H$65,2,FALSE()))</f>
        <v/>
      </c>
      <c r="J555" s="35" t="str">
        <f>IF(ISBLANK(A555),"",VLOOKUP(C555,RELACIONES!$A$3:$B$70,2,FALSE))</f>
        <v/>
      </c>
      <c r="K555" s="35" t="str">
        <f>IF(ISBLANK(A555),"",VLOOKUP(J555,RELACIONES!$B$3:$E$83,4,FALSE)*E555)</f>
        <v/>
      </c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34" t="str">
        <f>IF(ISBLANK(A556),"",VLOOKUP(A556,RELACIONES!$G$3:$H$65,2,FALSE()))</f>
        <v/>
      </c>
      <c r="J556" s="35" t="str">
        <f>IF(ISBLANK(A556),"",VLOOKUP(C556,RELACIONES!$A$3:$B$70,2,FALSE))</f>
        <v/>
      </c>
      <c r="K556" s="35" t="str">
        <f>IF(ISBLANK(A556),"",VLOOKUP(J556,RELACIONES!$B$3:$E$83,4,FALSE)*E556)</f>
        <v/>
      </c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34" t="str">
        <f>IF(ISBLANK(A557),"",VLOOKUP(A557,RELACIONES!$G$3:$H$65,2,FALSE()))</f>
        <v/>
      </c>
      <c r="J557" s="35" t="str">
        <f>IF(ISBLANK(A557),"",VLOOKUP(C557,RELACIONES!$A$3:$B$70,2,FALSE))</f>
        <v/>
      </c>
      <c r="K557" s="35" t="str">
        <f>IF(ISBLANK(A557),"",VLOOKUP(J557,RELACIONES!$B$3:$E$83,4,FALSE)*E557)</f>
        <v/>
      </c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34" t="str">
        <f>IF(ISBLANK(A558),"",VLOOKUP(A558,RELACIONES!$G$3:$H$65,2,FALSE()))</f>
        <v/>
      </c>
      <c r="J558" s="35" t="str">
        <f>IF(ISBLANK(A558),"",VLOOKUP(C558,RELACIONES!$A$3:$B$70,2,FALSE))</f>
        <v/>
      </c>
      <c r="K558" s="35" t="str">
        <f>IF(ISBLANK(A558),"",VLOOKUP(J558,RELACIONES!$B$3:$E$83,4,FALSE)*E558)</f>
        <v/>
      </c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34" t="str">
        <f>IF(ISBLANK(A559),"",VLOOKUP(A559,RELACIONES!$G$3:$H$65,2,FALSE()))</f>
        <v/>
      </c>
      <c r="J559" s="35" t="str">
        <f>IF(ISBLANK(A559),"",VLOOKUP(C559,RELACIONES!$A$3:$B$70,2,FALSE))</f>
        <v/>
      </c>
      <c r="K559" s="35" t="str">
        <f>IF(ISBLANK(A559),"",VLOOKUP(J559,RELACIONES!$B$3:$E$83,4,FALSE)*E559)</f>
        <v/>
      </c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34" t="str">
        <f>IF(ISBLANK(A560),"",VLOOKUP(A560,RELACIONES!$G$3:$H$65,2,FALSE()))</f>
        <v/>
      </c>
      <c r="J560" s="35" t="str">
        <f>IF(ISBLANK(A560),"",VLOOKUP(C560,RELACIONES!$A$3:$B$70,2,FALSE))</f>
        <v/>
      </c>
      <c r="K560" s="35" t="str">
        <f>IF(ISBLANK(A560),"",VLOOKUP(J560,RELACIONES!$B$3:$E$83,4,FALSE)*E560)</f>
        <v/>
      </c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34" t="str">
        <f>IF(ISBLANK(A561),"",VLOOKUP(A561,RELACIONES!$G$3:$H$65,2,FALSE()))</f>
        <v/>
      </c>
      <c r="J561" s="35" t="str">
        <f>IF(ISBLANK(A561),"",VLOOKUP(C561,RELACIONES!$A$3:$B$70,2,FALSE))</f>
        <v/>
      </c>
      <c r="K561" s="35" t="str">
        <f>IF(ISBLANK(A561),"",VLOOKUP(J561,RELACIONES!$B$3:$E$83,4,FALSE)*E561)</f>
        <v/>
      </c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34" t="str">
        <f>IF(ISBLANK(A562),"",VLOOKUP(A562,RELACIONES!$G$3:$H$65,2,FALSE()))</f>
        <v/>
      </c>
      <c r="J562" s="35" t="str">
        <f>IF(ISBLANK(A562),"",VLOOKUP(C562,RELACIONES!$A$3:$B$70,2,FALSE))</f>
        <v/>
      </c>
      <c r="K562" s="35" t="str">
        <f>IF(ISBLANK(A562),"",VLOOKUP(J562,RELACIONES!$B$3:$E$83,4,FALSE)*E562)</f>
        <v/>
      </c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34" t="str">
        <f>IF(ISBLANK(A563),"",VLOOKUP(A563,RELACIONES!$G$3:$H$65,2,FALSE()))</f>
        <v/>
      </c>
      <c r="J563" s="35" t="str">
        <f>IF(ISBLANK(A563),"",VLOOKUP(C563,RELACIONES!$A$3:$B$70,2,FALSE))</f>
        <v/>
      </c>
      <c r="K563" s="35" t="str">
        <f>IF(ISBLANK(A563),"",VLOOKUP(J563,RELACIONES!$B$3:$E$83,4,FALSE)*E563)</f>
        <v/>
      </c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34" t="str">
        <f>IF(ISBLANK(A564),"",VLOOKUP(A564,RELACIONES!$G$3:$H$65,2,FALSE()))</f>
        <v/>
      </c>
      <c r="J564" s="35" t="str">
        <f>IF(ISBLANK(A564),"",VLOOKUP(C564,RELACIONES!$A$3:$B$70,2,FALSE))</f>
        <v/>
      </c>
      <c r="K564" s="35" t="str">
        <f>IF(ISBLANK(A564),"",VLOOKUP(J564,RELACIONES!$B$3:$E$83,4,FALSE)*E564)</f>
        <v/>
      </c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34" t="str">
        <f>IF(ISBLANK(A565),"",VLOOKUP(A565,RELACIONES!$G$3:$H$65,2,FALSE()))</f>
        <v/>
      </c>
      <c r="J565" s="35" t="str">
        <f>IF(ISBLANK(A565),"",VLOOKUP(C565,RELACIONES!$A$3:$B$70,2,FALSE))</f>
        <v/>
      </c>
      <c r="K565" s="35" t="str">
        <f>IF(ISBLANK(A565),"",VLOOKUP(J565,RELACIONES!$B$3:$E$83,4,FALSE)*E565)</f>
        <v/>
      </c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34" t="str">
        <f>IF(ISBLANK(A566),"",VLOOKUP(A566,RELACIONES!$G$3:$H$65,2,FALSE()))</f>
        <v/>
      </c>
      <c r="J566" s="35" t="str">
        <f>IF(ISBLANK(A566),"",VLOOKUP(C566,RELACIONES!$A$3:$B$70,2,FALSE))</f>
        <v/>
      </c>
      <c r="K566" s="35" t="str">
        <f>IF(ISBLANK(A566),"",VLOOKUP(J566,RELACIONES!$B$3:$E$83,4,FALSE)*E566)</f>
        <v/>
      </c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34" t="str">
        <f>IF(ISBLANK(A567),"",VLOOKUP(A567,RELACIONES!$G$3:$H$65,2,FALSE()))</f>
        <v/>
      </c>
      <c r="J567" s="35" t="str">
        <f>IF(ISBLANK(A567),"",VLOOKUP(C567,RELACIONES!$A$3:$B$70,2,FALSE))</f>
        <v/>
      </c>
      <c r="K567" s="35" t="str">
        <f>IF(ISBLANK(A567),"",VLOOKUP(J567,RELACIONES!$B$3:$E$83,4,FALSE)*E567)</f>
        <v/>
      </c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34" t="str">
        <f>IF(ISBLANK(A568),"",VLOOKUP(A568,RELACIONES!$G$3:$H$65,2,FALSE()))</f>
        <v/>
      </c>
      <c r="J568" s="35" t="str">
        <f>IF(ISBLANK(A568),"",VLOOKUP(C568,RELACIONES!$A$3:$B$70,2,FALSE))</f>
        <v/>
      </c>
      <c r="K568" s="35" t="str">
        <f>IF(ISBLANK(A568),"",VLOOKUP(J568,RELACIONES!$B$3:$E$83,4,FALSE)*E568)</f>
        <v/>
      </c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34" t="str">
        <f>IF(ISBLANK(A569),"",VLOOKUP(A569,RELACIONES!$G$3:$H$65,2,FALSE()))</f>
        <v/>
      </c>
      <c r="J569" s="35" t="str">
        <f>IF(ISBLANK(A569),"",VLOOKUP(C569,RELACIONES!$A$3:$B$70,2,FALSE))</f>
        <v/>
      </c>
      <c r="K569" s="35" t="str">
        <f>IF(ISBLANK(A569),"",VLOOKUP(J569,RELACIONES!$B$3:$E$83,4,FALSE)*E569)</f>
        <v/>
      </c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34" t="str">
        <f>IF(ISBLANK(A570),"",VLOOKUP(A570,RELACIONES!$G$3:$H$65,2,FALSE()))</f>
        <v/>
      </c>
      <c r="J570" s="35" t="str">
        <f>IF(ISBLANK(A570),"",VLOOKUP(C570,RELACIONES!$A$3:$B$70,2,FALSE))</f>
        <v/>
      </c>
      <c r="K570" s="35" t="str">
        <f>IF(ISBLANK(A570),"",VLOOKUP(J570,RELACIONES!$B$3:$E$83,4,FALSE)*E570)</f>
        <v/>
      </c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34" t="str">
        <f>IF(ISBLANK(A571),"",VLOOKUP(A571,RELACIONES!$G$3:$H$65,2,FALSE()))</f>
        <v/>
      </c>
      <c r="J571" s="35" t="str">
        <f>IF(ISBLANK(A571),"",VLOOKUP(C571,RELACIONES!$A$3:$B$70,2,FALSE))</f>
        <v/>
      </c>
      <c r="K571" s="35" t="str">
        <f>IF(ISBLANK(A571),"",VLOOKUP(J571,RELACIONES!$B$3:$E$83,4,FALSE)*E571)</f>
        <v/>
      </c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34" t="str">
        <f>IF(ISBLANK(A572),"",VLOOKUP(A572,RELACIONES!$G$3:$H$65,2,FALSE()))</f>
        <v/>
      </c>
      <c r="J572" s="35" t="str">
        <f>IF(ISBLANK(A572),"",VLOOKUP(C572,RELACIONES!$A$3:$B$70,2,FALSE))</f>
        <v/>
      </c>
      <c r="K572" s="35" t="str">
        <f>IF(ISBLANK(A572),"",VLOOKUP(J572,RELACIONES!$B$3:$E$83,4,FALSE)*E572)</f>
        <v/>
      </c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34" t="str">
        <f>IF(ISBLANK(A573),"",VLOOKUP(A573,RELACIONES!$G$3:$H$65,2,FALSE()))</f>
        <v/>
      </c>
      <c r="J573" s="35" t="str">
        <f>IF(ISBLANK(A573),"",VLOOKUP(C573,RELACIONES!$A$3:$B$70,2,FALSE))</f>
        <v/>
      </c>
      <c r="K573" s="35" t="str">
        <f>IF(ISBLANK(A573),"",VLOOKUP(J573,RELACIONES!$B$3:$E$83,4,FALSE)*E573)</f>
        <v/>
      </c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34" t="str">
        <f>IF(ISBLANK(A574),"",VLOOKUP(A574,RELACIONES!$G$3:$H$65,2,FALSE()))</f>
        <v/>
      </c>
      <c r="J574" s="35" t="str">
        <f>IF(ISBLANK(A574),"",VLOOKUP(C574,RELACIONES!$A$3:$B$70,2,FALSE))</f>
        <v/>
      </c>
      <c r="K574" s="35" t="str">
        <f>IF(ISBLANK(A574),"",VLOOKUP(J574,RELACIONES!$B$3:$E$83,4,FALSE)*E574)</f>
        <v/>
      </c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34" t="str">
        <f>IF(ISBLANK(A575),"",VLOOKUP(A575,RELACIONES!$G$3:$H$65,2,FALSE()))</f>
        <v/>
      </c>
      <c r="J575" s="35" t="str">
        <f>IF(ISBLANK(A575),"",VLOOKUP(C575,RELACIONES!$A$3:$B$70,2,FALSE))</f>
        <v/>
      </c>
      <c r="K575" s="35" t="str">
        <f>IF(ISBLANK(A575),"",VLOOKUP(J575,RELACIONES!$B$3:$E$83,4,FALSE)*E575)</f>
        <v/>
      </c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34" t="str">
        <f>IF(ISBLANK(A576),"",VLOOKUP(A576,RELACIONES!$G$3:$H$65,2,FALSE()))</f>
        <v/>
      </c>
      <c r="J576" s="35" t="str">
        <f>IF(ISBLANK(A576),"",VLOOKUP(C576,RELACIONES!$A$3:$B$70,2,FALSE))</f>
        <v/>
      </c>
      <c r="K576" s="35" t="str">
        <f>IF(ISBLANK(A576),"",VLOOKUP(J576,RELACIONES!$B$3:$E$83,4,FALSE)*E576)</f>
        <v/>
      </c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34" t="str">
        <f>IF(ISBLANK(A577),"",VLOOKUP(A577,RELACIONES!$G$3:$H$65,2,FALSE()))</f>
        <v/>
      </c>
      <c r="J577" s="35" t="str">
        <f>IF(ISBLANK(A577),"",VLOOKUP(C577,RELACIONES!$A$3:$B$70,2,FALSE))</f>
        <v/>
      </c>
      <c r="K577" s="35" t="str">
        <f>IF(ISBLANK(A577),"",VLOOKUP(J577,RELACIONES!$B$3:$E$83,4,FALSE)*E577)</f>
        <v/>
      </c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34" t="str">
        <f>IF(ISBLANK(A578),"",VLOOKUP(A578,RELACIONES!$G$3:$H$65,2,FALSE()))</f>
        <v/>
      </c>
      <c r="J578" s="35" t="str">
        <f>IF(ISBLANK(A578),"",VLOOKUP(C578,RELACIONES!$A$3:$B$70,2,FALSE))</f>
        <v/>
      </c>
      <c r="K578" s="35" t="str">
        <f>IF(ISBLANK(A578),"",VLOOKUP(J578,RELACIONES!$B$3:$E$83,4,FALSE)*E578)</f>
        <v/>
      </c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34" t="str">
        <f>IF(ISBLANK(A579),"",VLOOKUP(A579,RELACIONES!$G$3:$H$65,2,FALSE()))</f>
        <v/>
      </c>
      <c r="J579" s="35" t="str">
        <f>IF(ISBLANK(A579),"",VLOOKUP(C579,RELACIONES!$A$3:$B$70,2,FALSE))</f>
        <v/>
      </c>
      <c r="K579" s="35" t="str">
        <f>IF(ISBLANK(A579),"",VLOOKUP(J579,RELACIONES!$B$3:$E$83,4,FALSE)*E579)</f>
        <v/>
      </c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34" t="str">
        <f>IF(ISBLANK(A580),"",VLOOKUP(A580,RELACIONES!$G$3:$H$65,2,FALSE()))</f>
        <v/>
      </c>
      <c r="J580" s="35" t="str">
        <f>IF(ISBLANK(A580),"",VLOOKUP(C580,RELACIONES!$A$3:$B$70,2,FALSE))</f>
        <v/>
      </c>
      <c r="K580" s="35" t="str">
        <f>IF(ISBLANK(A580),"",VLOOKUP(J580,RELACIONES!$B$3:$E$83,4,FALSE)*E580)</f>
        <v/>
      </c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34" t="str">
        <f>IF(ISBLANK(A581),"",VLOOKUP(A581,RELACIONES!$G$3:$H$65,2,FALSE()))</f>
        <v/>
      </c>
      <c r="J581" s="35" t="str">
        <f>IF(ISBLANK(A581),"",VLOOKUP(C581,RELACIONES!$A$3:$B$70,2,FALSE))</f>
        <v/>
      </c>
      <c r="K581" s="35" t="str">
        <f>IF(ISBLANK(A581),"",VLOOKUP(J581,RELACIONES!$B$3:$E$83,4,FALSE)*E581)</f>
        <v/>
      </c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34" t="str">
        <f>IF(ISBLANK(A582),"",VLOOKUP(A582,RELACIONES!$G$3:$H$65,2,FALSE()))</f>
        <v/>
      </c>
      <c r="J582" s="35" t="str">
        <f>IF(ISBLANK(A582),"",VLOOKUP(C582,RELACIONES!$A$3:$B$70,2,FALSE))</f>
        <v/>
      </c>
      <c r="K582" s="35" t="str">
        <f>IF(ISBLANK(A582),"",VLOOKUP(J582,RELACIONES!$B$3:$E$83,4,FALSE)*E582)</f>
        <v/>
      </c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34" t="str">
        <f>IF(ISBLANK(A583),"",VLOOKUP(A583,RELACIONES!$G$3:$H$65,2,FALSE()))</f>
        <v/>
      </c>
      <c r="J583" s="35" t="str">
        <f>IF(ISBLANK(A583),"",VLOOKUP(C583,RELACIONES!$A$3:$B$70,2,FALSE))</f>
        <v/>
      </c>
      <c r="K583" s="35" t="str">
        <f>IF(ISBLANK(A583),"",VLOOKUP(J583,RELACIONES!$B$3:$E$83,4,FALSE)*E583)</f>
        <v/>
      </c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34" t="str">
        <f>IF(ISBLANK(A584),"",VLOOKUP(A584,RELACIONES!$G$3:$H$65,2,FALSE()))</f>
        <v/>
      </c>
      <c r="J584" s="35" t="str">
        <f>IF(ISBLANK(A584),"",VLOOKUP(C584,RELACIONES!$A$3:$B$70,2,FALSE))</f>
        <v/>
      </c>
      <c r="K584" s="35" t="str">
        <f>IF(ISBLANK(A584),"",VLOOKUP(J584,RELACIONES!$B$3:$E$83,4,FALSE)*E584)</f>
        <v/>
      </c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34" t="str">
        <f>IF(ISBLANK(A585),"",VLOOKUP(A585,RELACIONES!$G$3:$H$65,2,FALSE()))</f>
        <v/>
      </c>
      <c r="J585" s="35" t="str">
        <f>IF(ISBLANK(A585),"",VLOOKUP(C585,RELACIONES!$A$3:$B$70,2,FALSE))</f>
        <v/>
      </c>
      <c r="K585" s="35" t="str">
        <f>IF(ISBLANK(A585),"",VLOOKUP(J585,RELACIONES!$B$3:$E$83,4,FALSE)*E585)</f>
        <v/>
      </c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34" t="str">
        <f>IF(ISBLANK(A586),"",VLOOKUP(A586,RELACIONES!$G$3:$H$65,2,FALSE()))</f>
        <v/>
      </c>
      <c r="J586" s="35" t="str">
        <f>IF(ISBLANK(A586),"",VLOOKUP(C586,RELACIONES!$A$3:$B$70,2,FALSE))</f>
        <v/>
      </c>
      <c r="K586" s="35" t="str">
        <f>IF(ISBLANK(A586),"",VLOOKUP(J586,RELACIONES!$B$3:$E$83,4,FALSE)*E586)</f>
        <v/>
      </c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34" t="str">
        <f>IF(ISBLANK(A587),"",VLOOKUP(A587,RELACIONES!$G$3:$H$65,2,FALSE()))</f>
        <v/>
      </c>
      <c r="J587" s="35" t="str">
        <f>IF(ISBLANK(A587),"",VLOOKUP(C587,RELACIONES!$A$3:$B$70,2,FALSE))</f>
        <v/>
      </c>
      <c r="K587" s="35" t="str">
        <f>IF(ISBLANK(A587),"",VLOOKUP(J587,RELACIONES!$B$3:$E$83,4,FALSE)*E587)</f>
        <v/>
      </c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34" t="str">
        <f>IF(ISBLANK(A588),"",VLOOKUP(A588,RELACIONES!$G$3:$H$65,2,FALSE()))</f>
        <v/>
      </c>
      <c r="J588" s="35" t="str">
        <f>IF(ISBLANK(A588),"",VLOOKUP(C588,RELACIONES!$A$3:$B$70,2,FALSE))</f>
        <v/>
      </c>
      <c r="K588" s="35" t="str">
        <f>IF(ISBLANK(A588),"",VLOOKUP(J588,RELACIONES!$B$3:$E$83,4,FALSE)*E588)</f>
        <v/>
      </c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34" t="str">
        <f>IF(ISBLANK(A589),"",VLOOKUP(A589,RELACIONES!$G$3:$H$65,2,FALSE()))</f>
        <v/>
      </c>
      <c r="J589" s="35" t="str">
        <f>IF(ISBLANK(A589),"",VLOOKUP(C589,RELACIONES!$A$3:$B$70,2,FALSE))</f>
        <v/>
      </c>
      <c r="K589" s="35" t="str">
        <f>IF(ISBLANK(A589),"",VLOOKUP(J589,RELACIONES!$B$3:$E$83,4,FALSE)*E589)</f>
        <v/>
      </c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34" t="str">
        <f>IF(ISBLANK(A590),"",VLOOKUP(A590,RELACIONES!$G$3:$H$65,2,FALSE()))</f>
        <v/>
      </c>
      <c r="J590" s="35" t="str">
        <f>IF(ISBLANK(A590),"",VLOOKUP(C590,RELACIONES!$A$3:$B$70,2,FALSE))</f>
        <v/>
      </c>
      <c r="K590" s="35" t="str">
        <f>IF(ISBLANK(A590),"",VLOOKUP(J590,RELACIONES!$B$3:$E$83,4,FALSE)*E590)</f>
        <v/>
      </c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34" t="str">
        <f>IF(ISBLANK(A591),"",VLOOKUP(A591,RELACIONES!$G$3:$H$65,2,FALSE()))</f>
        <v/>
      </c>
      <c r="J591" s="35" t="str">
        <f>IF(ISBLANK(A591),"",VLOOKUP(C591,RELACIONES!$A$3:$B$70,2,FALSE))</f>
        <v/>
      </c>
      <c r="K591" s="35" t="str">
        <f>IF(ISBLANK(A591),"",VLOOKUP(J591,RELACIONES!$B$3:$E$83,4,FALSE)*E591)</f>
        <v/>
      </c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34" t="str">
        <f>IF(ISBLANK(A592),"",VLOOKUP(A592,RELACIONES!$G$3:$H$65,2,FALSE()))</f>
        <v/>
      </c>
      <c r="J592" s="35" t="str">
        <f>IF(ISBLANK(A592),"",VLOOKUP(C592,RELACIONES!$A$3:$B$70,2,FALSE))</f>
        <v/>
      </c>
      <c r="K592" s="35" t="str">
        <f>IF(ISBLANK(A592),"",VLOOKUP(J592,RELACIONES!$B$3:$E$83,4,FALSE)*E592)</f>
        <v/>
      </c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34" t="str">
        <f>IF(ISBLANK(A593),"",VLOOKUP(A593,RELACIONES!$G$3:$H$65,2,FALSE()))</f>
        <v/>
      </c>
      <c r="J593" s="35" t="str">
        <f>IF(ISBLANK(A593),"",VLOOKUP(C593,RELACIONES!$A$3:$B$70,2,FALSE))</f>
        <v/>
      </c>
      <c r="K593" s="35" t="str">
        <f>IF(ISBLANK(A593),"",VLOOKUP(J593,RELACIONES!$B$3:$E$83,4,FALSE)*E593)</f>
        <v/>
      </c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34" t="str">
        <f>IF(ISBLANK(A594),"",VLOOKUP(A594,RELACIONES!$G$3:$H$65,2,FALSE()))</f>
        <v/>
      </c>
      <c r="J594" s="35" t="str">
        <f>IF(ISBLANK(A594),"",VLOOKUP(C594,RELACIONES!$A$3:$B$70,2,FALSE))</f>
        <v/>
      </c>
      <c r="K594" s="35" t="str">
        <f>IF(ISBLANK(A594),"",VLOOKUP(J594,RELACIONES!$B$3:$E$83,4,FALSE)*E594)</f>
        <v/>
      </c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34" t="str">
        <f>IF(ISBLANK(A595),"",VLOOKUP(A595,RELACIONES!$G$3:$H$65,2,FALSE()))</f>
        <v/>
      </c>
      <c r="J595" s="35" t="str">
        <f>IF(ISBLANK(A595),"",VLOOKUP(C595,RELACIONES!$A$3:$B$70,2,FALSE))</f>
        <v/>
      </c>
      <c r="K595" s="35" t="str">
        <f>IF(ISBLANK(A595),"",VLOOKUP(J595,RELACIONES!$B$3:$E$83,4,FALSE)*E595)</f>
        <v/>
      </c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34" t="str">
        <f>IF(ISBLANK(A596),"",VLOOKUP(A596,RELACIONES!$G$3:$H$65,2,FALSE()))</f>
        <v/>
      </c>
      <c r="J596" s="35" t="str">
        <f>IF(ISBLANK(A596),"",VLOOKUP(C596,RELACIONES!$A$3:$B$70,2,FALSE))</f>
        <v/>
      </c>
      <c r="K596" s="35" t="str">
        <f>IF(ISBLANK(A596),"",VLOOKUP(J596,RELACIONES!$B$3:$E$83,4,FALSE)*E596)</f>
        <v/>
      </c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34" t="str">
        <f>IF(ISBLANK(A597),"",VLOOKUP(A597,RELACIONES!$G$3:$H$65,2,FALSE()))</f>
        <v/>
      </c>
      <c r="J597" s="35" t="str">
        <f>IF(ISBLANK(A597),"",VLOOKUP(C597,RELACIONES!$A$3:$B$70,2,FALSE))</f>
        <v/>
      </c>
      <c r="K597" s="35" t="str">
        <f>IF(ISBLANK(A597),"",VLOOKUP(J597,RELACIONES!$B$3:$E$83,4,FALSE)*E597)</f>
        <v/>
      </c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34" t="str">
        <f>IF(ISBLANK(A598),"",VLOOKUP(A598,RELACIONES!$G$3:$H$65,2,FALSE()))</f>
        <v/>
      </c>
      <c r="J598" s="35" t="str">
        <f>IF(ISBLANK(A598),"",VLOOKUP(C598,RELACIONES!$A$3:$B$70,2,FALSE))</f>
        <v/>
      </c>
      <c r="K598" s="35" t="str">
        <f>IF(ISBLANK(A598),"",VLOOKUP(J598,RELACIONES!$B$3:$E$83,4,FALSE)*E598)</f>
        <v/>
      </c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34" t="str">
        <f>IF(ISBLANK(A599),"",VLOOKUP(A599,RELACIONES!$G$3:$H$65,2,FALSE()))</f>
        <v/>
      </c>
      <c r="J599" s="35" t="str">
        <f>IF(ISBLANK(A599),"",VLOOKUP(C599,RELACIONES!$A$3:$B$70,2,FALSE))</f>
        <v/>
      </c>
      <c r="K599" s="35" t="str">
        <f>IF(ISBLANK(A599),"",VLOOKUP(J599,RELACIONES!$B$3:$E$83,4,FALSE)*E599)</f>
        <v/>
      </c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34" t="str">
        <f>IF(ISBLANK(A600),"",VLOOKUP(A600,RELACIONES!$G$3:$H$65,2,FALSE()))</f>
        <v/>
      </c>
      <c r="J600" s="35" t="str">
        <f>IF(ISBLANK(A600),"",VLOOKUP(C600,RELACIONES!$A$3:$B$70,2,FALSE))</f>
        <v/>
      </c>
      <c r="K600" s="35" t="str">
        <f>IF(ISBLANK(A600),"",VLOOKUP(J600,RELACIONES!$B$3:$E$83,4,FALSE)*E600)</f>
        <v/>
      </c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34" t="str">
        <f>IF(ISBLANK(A601),"",VLOOKUP(A601,RELACIONES!$G$3:$H$65,2,FALSE()))</f>
        <v/>
      </c>
      <c r="J601" s="35" t="str">
        <f>IF(ISBLANK(A601),"",VLOOKUP(C601,RELACIONES!$A$3:$B$70,2,FALSE))</f>
        <v/>
      </c>
      <c r="K601" s="35" t="str">
        <f>IF(ISBLANK(A601),"",VLOOKUP(J601,RELACIONES!$B$3:$E$83,4,FALSE)*E601)</f>
        <v/>
      </c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34" t="str">
        <f>IF(ISBLANK(A602),"",VLOOKUP(A602,RELACIONES!$G$3:$H$65,2,FALSE()))</f>
        <v/>
      </c>
      <c r="J602" s="35" t="str">
        <f>IF(ISBLANK(A602),"",VLOOKUP(C602,RELACIONES!$A$3:$B$70,2,FALSE))</f>
        <v/>
      </c>
      <c r="K602" s="35" t="str">
        <f>IF(ISBLANK(A602),"",VLOOKUP(J602,RELACIONES!$B$3:$E$83,4,FALSE)*E602)</f>
        <v/>
      </c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34" t="str">
        <f>IF(ISBLANK(A603),"",VLOOKUP(A603,RELACIONES!$G$3:$H$65,2,FALSE()))</f>
        <v/>
      </c>
      <c r="J603" s="35" t="str">
        <f>IF(ISBLANK(A603),"",VLOOKUP(C603,RELACIONES!$A$3:$B$70,2,FALSE))</f>
        <v/>
      </c>
      <c r="K603" s="35" t="str">
        <f>IF(ISBLANK(A603),"",VLOOKUP(J603,RELACIONES!$B$3:$E$83,4,FALSE)*E603)</f>
        <v/>
      </c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34" t="str">
        <f>IF(ISBLANK(A604),"",VLOOKUP(A604,RELACIONES!$G$3:$H$65,2,FALSE()))</f>
        <v/>
      </c>
      <c r="J604" s="35" t="str">
        <f>IF(ISBLANK(A604),"",VLOOKUP(C604,RELACIONES!$A$3:$B$70,2,FALSE))</f>
        <v/>
      </c>
      <c r="K604" s="35" t="str">
        <f>IF(ISBLANK(A604),"",VLOOKUP(J604,RELACIONES!$B$3:$E$83,4,FALSE)*E604)</f>
        <v/>
      </c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34" t="str">
        <f>IF(ISBLANK(A605),"",VLOOKUP(A605,RELACIONES!$G$3:$H$65,2,FALSE()))</f>
        <v/>
      </c>
      <c r="J605" s="35" t="str">
        <f>IF(ISBLANK(A605),"",VLOOKUP(C605,RELACIONES!$A$3:$B$70,2,FALSE))</f>
        <v/>
      </c>
      <c r="K605" s="35" t="str">
        <f>IF(ISBLANK(A605),"",VLOOKUP(J605,RELACIONES!$B$3:$E$83,4,FALSE)*E605)</f>
        <v/>
      </c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34" t="str">
        <f>IF(ISBLANK(A606),"",VLOOKUP(A606,RELACIONES!$G$3:$H$65,2,FALSE()))</f>
        <v/>
      </c>
      <c r="J606" s="35" t="str">
        <f>IF(ISBLANK(A606),"",VLOOKUP(C606,RELACIONES!$A$3:$B$70,2,FALSE))</f>
        <v/>
      </c>
      <c r="K606" s="35" t="str">
        <f>IF(ISBLANK(A606),"",VLOOKUP(J606,RELACIONES!$B$3:$E$83,4,FALSE)*E606)</f>
        <v/>
      </c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34" t="str">
        <f>IF(ISBLANK(A607),"",VLOOKUP(A607,RELACIONES!$G$3:$H$65,2,FALSE()))</f>
        <v/>
      </c>
      <c r="J607" s="35" t="str">
        <f>IF(ISBLANK(A607),"",VLOOKUP(C607,RELACIONES!$A$3:$B$70,2,FALSE))</f>
        <v/>
      </c>
      <c r="K607" s="35" t="str">
        <f>IF(ISBLANK(A607),"",VLOOKUP(J607,RELACIONES!$B$3:$E$83,4,FALSE)*E607)</f>
        <v/>
      </c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34" t="str">
        <f>IF(ISBLANK(A608),"",VLOOKUP(A608,RELACIONES!$G$3:$H$65,2,FALSE()))</f>
        <v/>
      </c>
      <c r="J608" s="35" t="str">
        <f>IF(ISBLANK(A608),"",VLOOKUP(C608,RELACIONES!$A$3:$B$70,2,FALSE))</f>
        <v/>
      </c>
      <c r="K608" s="35" t="str">
        <f>IF(ISBLANK(A608),"",VLOOKUP(J608,RELACIONES!$B$3:$E$83,4,FALSE)*E608)</f>
        <v/>
      </c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34" t="str">
        <f>IF(ISBLANK(A609),"",VLOOKUP(A609,RELACIONES!$G$3:$H$65,2,FALSE()))</f>
        <v/>
      </c>
      <c r="J609" s="35" t="str">
        <f>IF(ISBLANK(A609),"",VLOOKUP(C609,RELACIONES!$A$3:$B$70,2,FALSE))</f>
        <v/>
      </c>
      <c r="K609" s="35" t="str">
        <f>IF(ISBLANK(A609),"",VLOOKUP(J609,RELACIONES!$B$3:$E$83,4,FALSE)*E609)</f>
        <v/>
      </c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34" t="str">
        <f>IF(ISBLANK(A610),"",VLOOKUP(A610,RELACIONES!$G$3:$H$65,2,FALSE()))</f>
        <v/>
      </c>
      <c r="J610" s="35" t="str">
        <f>IF(ISBLANK(A610),"",VLOOKUP(C610,RELACIONES!$A$3:$B$70,2,FALSE))</f>
        <v/>
      </c>
      <c r="K610" s="35" t="str">
        <f>IF(ISBLANK(A610),"",VLOOKUP(J610,RELACIONES!$B$3:$E$83,4,FALSE)*E610)</f>
        <v/>
      </c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34" t="str">
        <f>IF(ISBLANK(A611),"",VLOOKUP(A611,RELACIONES!$G$3:$H$65,2,FALSE()))</f>
        <v/>
      </c>
      <c r="J611" s="35" t="str">
        <f>IF(ISBLANK(A611),"",VLOOKUP(C611,RELACIONES!$A$3:$B$70,2,FALSE))</f>
        <v/>
      </c>
      <c r="K611" s="35" t="str">
        <f>IF(ISBLANK(A611),"",VLOOKUP(J611,RELACIONES!$B$3:$E$83,4,FALSE)*E611)</f>
        <v/>
      </c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34" t="str">
        <f>IF(ISBLANK(A612),"",VLOOKUP(A612,RELACIONES!$G$3:$H$65,2,FALSE()))</f>
        <v/>
      </c>
      <c r="J612" s="35" t="str">
        <f>IF(ISBLANK(A612),"",VLOOKUP(C612,RELACIONES!$A$3:$B$70,2,FALSE))</f>
        <v/>
      </c>
      <c r="K612" s="35" t="str">
        <f>IF(ISBLANK(A612),"",VLOOKUP(J612,RELACIONES!$B$3:$E$83,4,FALSE)*E612)</f>
        <v/>
      </c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34" t="str">
        <f>IF(ISBLANK(A613),"",VLOOKUP(A613,RELACIONES!$G$3:$H$65,2,FALSE()))</f>
        <v/>
      </c>
      <c r="J613" s="35" t="str">
        <f>IF(ISBLANK(A613),"",VLOOKUP(C613,RELACIONES!$A$3:$B$70,2,FALSE))</f>
        <v/>
      </c>
      <c r="K613" s="35" t="str">
        <f>IF(ISBLANK(A613),"",VLOOKUP(J613,RELACIONES!$B$3:$E$83,4,FALSE)*E613)</f>
        <v/>
      </c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34" t="str">
        <f>IF(ISBLANK(A614),"",VLOOKUP(A614,RELACIONES!$G$3:$H$65,2,FALSE()))</f>
        <v/>
      </c>
      <c r="J614" s="35" t="str">
        <f>IF(ISBLANK(A614),"",VLOOKUP(C614,RELACIONES!$A$3:$B$70,2,FALSE))</f>
        <v/>
      </c>
      <c r="K614" s="35" t="str">
        <f>IF(ISBLANK(A614),"",VLOOKUP(J614,RELACIONES!$B$3:$E$83,4,FALSE)*E614)</f>
        <v/>
      </c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34" t="str">
        <f>IF(ISBLANK(A615),"",VLOOKUP(A615,RELACIONES!$G$3:$H$65,2,FALSE()))</f>
        <v/>
      </c>
      <c r="J615" s="35" t="str">
        <f>IF(ISBLANK(A615),"",VLOOKUP(C615,RELACIONES!$A$3:$B$70,2,FALSE))</f>
        <v/>
      </c>
      <c r="K615" s="35" t="str">
        <f>IF(ISBLANK(A615),"",VLOOKUP(J615,RELACIONES!$B$3:$E$83,4,FALSE)*E615)</f>
        <v/>
      </c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34" t="str">
        <f>IF(ISBLANK(A616),"",VLOOKUP(A616,RELACIONES!$G$3:$H$65,2,FALSE()))</f>
        <v/>
      </c>
      <c r="J616" s="35" t="str">
        <f>IF(ISBLANK(A616),"",VLOOKUP(C616,RELACIONES!$A$3:$B$70,2,FALSE))</f>
        <v/>
      </c>
      <c r="K616" s="35" t="str">
        <f>IF(ISBLANK(A616),"",VLOOKUP(J616,RELACIONES!$B$3:$E$83,4,FALSE)*E616)</f>
        <v/>
      </c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34" t="str">
        <f>IF(ISBLANK(A617),"",VLOOKUP(A617,RELACIONES!$G$3:$H$65,2,FALSE()))</f>
        <v/>
      </c>
      <c r="J617" s="35" t="str">
        <f>IF(ISBLANK(A617),"",VLOOKUP(C617,RELACIONES!$A$3:$B$70,2,FALSE))</f>
        <v/>
      </c>
      <c r="K617" s="35" t="str">
        <f>IF(ISBLANK(A617),"",VLOOKUP(J617,RELACIONES!$B$3:$E$83,4,FALSE)*E617)</f>
        <v/>
      </c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34" t="str">
        <f>IF(ISBLANK(A618),"",VLOOKUP(A618,RELACIONES!$G$3:$H$65,2,FALSE()))</f>
        <v/>
      </c>
      <c r="J618" s="35" t="str">
        <f>IF(ISBLANK(A618),"",VLOOKUP(C618,RELACIONES!$A$3:$B$70,2,FALSE))</f>
        <v/>
      </c>
      <c r="K618" s="35" t="str">
        <f>IF(ISBLANK(A618),"",VLOOKUP(J618,RELACIONES!$B$3:$E$83,4,FALSE)*E618)</f>
        <v/>
      </c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34" t="str">
        <f>IF(ISBLANK(A619),"",VLOOKUP(A619,RELACIONES!$G$3:$H$65,2,FALSE()))</f>
        <v/>
      </c>
      <c r="J619" s="35" t="str">
        <f>IF(ISBLANK(A619),"",VLOOKUP(C619,RELACIONES!$A$3:$B$70,2,FALSE))</f>
        <v/>
      </c>
      <c r="K619" s="35" t="str">
        <f>IF(ISBLANK(A619),"",VLOOKUP(J619,RELACIONES!$B$3:$E$83,4,FALSE)*E619)</f>
        <v/>
      </c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34" t="str">
        <f>IF(ISBLANK(A620),"",VLOOKUP(A620,RELACIONES!$G$3:$H$65,2,FALSE()))</f>
        <v/>
      </c>
      <c r="J620" s="35" t="str">
        <f>IF(ISBLANK(A620),"",VLOOKUP(C620,RELACIONES!$A$3:$B$70,2,FALSE))</f>
        <v/>
      </c>
      <c r="K620" s="35" t="str">
        <f>IF(ISBLANK(A620),"",VLOOKUP(J620,RELACIONES!$B$3:$E$83,4,FALSE)*E620)</f>
        <v/>
      </c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34" t="str">
        <f>IF(ISBLANK(A621),"",VLOOKUP(A621,RELACIONES!$G$3:$H$65,2,FALSE()))</f>
        <v/>
      </c>
      <c r="J621" s="35" t="str">
        <f>IF(ISBLANK(A621),"",VLOOKUP(C621,RELACIONES!$A$3:$B$70,2,FALSE))</f>
        <v/>
      </c>
      <c r="K621" s="35" t="str">
        <f>IF(ISBLANK(A621),"",VLOOKUP(J621,RELACIONES!$B$3:$E$83,4,FALSE)*E621)</f>
        <v/>
      </c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34" t="str">
        <f>IF(ISBLANK(A622),"",VLOOKUP(A622,RELACIONES!$G$3:$H$65,2,FALSE()))</f>
        <v/>
      </c>
      <c r="J622" s="35" t="str">
        <f>IF(ISBLANK(A622),"",VLOOKUP(C622,RELACIONES!$A$3:$B$70,2,FALSE))</f>
        <v/>
      </c>
      <c r="K622" s="35" t="str">
        <f>IF(ISBLANK(A622),"",VLOOKUP(J622,RELACIONES!$B$3:$E$83,4,FALSE)*E622)</f>
        <v/>
      </c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34" t="str">
        <f>IF(ISBLANK(A623),"",VLOOKUP(A623,RELACIONES!$G$3:$H$65,2,FALSE()))</f>
        <v/>
      </c>
      <c r="J623" s="35" t="str">
        <f>IF(ISBLANK(A623),"",VLOOKUP(C623,RELACIONES!$A$3:$B$70,2,FALSE))</f>
        <v/>
      </c>
      <c r="K623" s="35" t="str">
        <f>IF(ISBLANK(A623),"",VLOOKUP(J623,RELACIONES!$B$3:$E$83,4,FALSE)*E623)</f>
        <v/>
      </c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34" t="str">
        <f>IF(ISBLANK(A624),"",VLOOKUP(A624,RELACIONES!$G$3:$H$65,2,FALSE()))</f>
        <v/>
      </c>
      <c r="J624" s="35" t="str">
        <f>IF(ISBLANK(A624),"",VLOOKUP(C624,RELACIONES!$A$3:$B$70,2,FALSE))</f>
        <v/>
      </c>
      <c r="K624" s="35" t="str">
        <f>IF(ISBLANK(A624),"",VLOOKUP(J624,RELACIONES!$B$3:$E$83,4,FALSE)*E624)</f>
        <v/>
      </c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34" t="str">
        <f>IF(ISBLANK(A625),"",VLOOKUP(A625,RELACIONES!$G$3:$H$65,2,FALSE()))</f>
        <v/>
      </c>
      <c r="J625" s="35" t="str">
        <f>IF(ISBLANK(A625),"",VLOOKUP(C625,RELACIONES!$A$3:$B$70,2,FALSE))</f>
        <v/>
      </c>
      <c r="K625" s="35" t="str">
        <f>IF(ISBLANK(A625),"",VLOOKUP(J625,RELACIONES!$B$3:$E$83,4,FALSE)*E625)</f>
        <v/>
      </c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34" t="str">
        <f>IF(ISBLANK(A626),"",VLOOKUP(A626,RELACIONES!$G$3:$H$65,2,FALSE()))</f>
        <v/>
      </c>
      <c r="J626" s="35" t="str">
        <f>IF(ISBLANK(A626),"",VLOOKUP(C626,RELACIONES!$A$3:$B$70,2,FALSE))</f>
        <v/>
      </c>
      <c r="K626" s="35" t="str">
        <f>IF(ISBLANK(A626),"",VLOOKUP(J626,RELACIONES!$B$3:$E$83,4,FALSE)*E626)</f>
        <v/>
      </c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34" t="str">
        <f>IF(ISBLANK(A627),"",VLOOKUP(A627,RELACIONES!$G$3:$H$65,2,FALSE()))</f>
        <v/>
      </c>
      <c r="J627" s="35" t="str">
        <f>IF(ISBLANK(A627),"",VLOOKUP(C627,RELACIONES!$A$3:$B$70,2,FALSE))</f>
        <v/>
      </c>
      <c r="K627" s="35" t="str">
        <f>IF(ISBLANK(A627),"",VLOOKUP(J627,RELACIONES!$B$3:$E$83,4,FALSE)*E627)</f>
        <v/>
      </c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34" t="str">
        <f>IF(ISBLANK(A628),"",VLOOKUP(A628,RELACIONES!$G$3:$H$65,2,FALSE()))</f>
        <v/>
      </c>
      <c r="J628" s="35" t="str">
        <f>IF(ISBLANK(A628),"",VLOOKUP(C628,RELACIONES!$A$3:$B$70,2,FALSE))</f>
        <v/>
      </c>
      <c r="K628" s="35" t="str">
        <f>IF(ISBLANK(A628),"",VLOOKUP(J628,RELACIONES!$B$3:$E$83,4,FALSE)*E628)</f>
        <v/>
      </c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34" t="str">
        <f>IF(ISBLANK(A629),"",VLOOKUP(A629,RELACIONES!$G$3:$H$65,2,FALSE()))</f>
        <v/>
      </c>
      <c r="J629" s="35" t="str">
        <f>IF(ISBLANK(A629),"",VLOOKUP(C629,RELACIONES!$A$3:$B$70,2,FALSE))</f>
        <v/>
      </c>
      <c r="K629" s="35" t="str">
        <f>IF(ISBLANK(A629),"",VLOOKUP(J629,RELACIONES!$B$3:$E$83,4,FALSE)*E629)</f>
        <v/>
      </c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34" t="str">
        <f>IF(ISBLANK(A630),"",VLOOKUP(A630,RELACIONES!$G$3:$H$65,2,FALSE()))</f>
        <v/>
      </c>
      <c r="J630" s="35" t="str">
        <f>IF(ISBLANK(A630),"",VLOOKUP(C630,RELACIONES!$A$3:$B$70,2,FALSE))</f>
        <v/>
      </c>
      <c r="K630" s="35" t="str">
        <f>IF(ISBLANK(A630),"",VLOOKUP(J630,RELACIONES!$B$3:$E$83,4,FALSE)*E630)</f>
        <v/>
      </c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34" t="str">
        <f>IF(ISBLANK(A631),"",VLOOKUP(A631,RELACIONES!$G$3:$H$65,2,FALSE()))</f>
        <v/>
      </c>
      <c r="J631" s="35" t="str">
        <f>IF(ISBLANK(A631),"",VLOOKUP(C631,RELACIONES!$A$3:$B$70,2,FALSE))</f>
        <v/>
      </c>
      <c r="K631" s="35" t="str">
        <f>IF(ISBLANK(A631),"",VLOOKUP(J631,RELACIONES!$B$3:$E$83,4,FALSE)*E631)</f>
        <v/>
      </c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34" t="str">
        <f>IF(ISBLANK(A632),"",VLOOKUP(A632,RELACIONES!$G$3:$H$65,2,FALSE()))</f>
        <v/>
      </c>
      <c r="J632" s="35" t="str">
        <f>IF(ISBLANK(A632),"",VLOOKUP(C632,RELACIONES!$A$3:$B$70,2,FALSE))</f>
        <v/>
      </c>
      <c r="K632" s="35" t="str">
        <f>IF(ISBLANK(A632),"",VLOOKUP(J632,RELACIONES!$B$3:$E$83,4,FALSE)*E632)</f>
        <v/>
      </c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34" t="str">
        <f>IF(ISBLANK(A633),"",VLOOKUP(A633,RELACIONES!$G$3:$H$65,2,FALSE()))</f>
        <v/>
      </c>
      <c r="J633" s="35" t="str">
        <f>IF(ISBLANK(A633),"",VLOOKUP(C633,RELACIONES!$A$3:$B$70,2,FALSE))</f>
        <v/>
      </c>
      <c r="K633" s="35" t="str">
        <f>IF(ISBLANK(A633),"",VLOOKUP(J633,RELACIONES!$B$3:$E$83,4,FALSE)*E633)</f>
        <v/>
      </c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34" t="str">
        <f>IF(ISBLANK(A634),"",VLOOKUP(A634,RELACIONES!$G$3:$H$65,2,FALSE()))</f>
        <v/>
      </c>
      <c r="J634" s="35" t="str">
        <f>IF(ISBLANK(A634),"",VLOOKUP(C634,RELACIONES!$A$3:$B$70,2,FALSE))</f>
        <v/>
      </c>
      <c r="K634" s="35" t="str">
        <f>IF(ISBLANK(A634),"",VLOOKUP(J634,RELACIONES!$B$3:$E$83,4,FALSE)*E634)</f>
        <v/>
      </c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34" t="str">
        <f>IF(ISBLANK(A635),"",VLOOKUP(A635,RELACIONES!$G$3:$H$65,2,FALSE()))</f>
        <v/>
      </c>
      <c r="J635" s="35" t="str">
        <f>IF(ISBLANK(A635),"",VLOOKUP(C635,RELACIONES!$A$3:$B$70,2,FALSE))</f>
        <v/>
      </c>
      <c r="K635" s="35" t="str">
        <f>IF(ISBLANK(A635),"",VLOOKUP(J635,RELACIONES!$B$3:$E$83,4,FALSE)*E635)</f>
        <v/>
      </c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34" t="str">
        <f>IF(ISBLANK(A636),"",VLOOKUP(A636,RELACIONES!$G$3:$H$65,2,FALSE()))</f>
        <v/>
      </c>
      <c r="J636" s="35" t="str">
        <f>IF(ISBLANK(A636),"",VLOOKUP(C636,RELACIONES!$A$3:$B$70,2,FALSE))</f>
        <v/>
      </c>
      <c r="K636" s="35" t="str">
        <f>IF(ISBLANK(A636),"",VLOOKUP(J636,RELACIONES!$B$3:$E$83,4,FALSE)*E636)</f>
        <v/>
      </c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34" t="str">
        <f>IF(ISBLANK(A637),"",VLOOKUP(A637,RELACIONES!$G$3:$H$65,2,FALSE()))</f>
        <v/>
      </c>
      <c r="J637" s="35" t="str">
        <f>IF(ISBLANK(A637),"",VLOOKUP(C637,RELACIONES!$A$3:$B$70,2,FALSE))</f>
        <v/>
      </c>
      <c r="K637" s="35" t="str">
        <f>IF(ISBLANK(A637),"",VLOOKUP(J637,RELACIONES!$B$3:$E$83,4,FALSE)*E637)</f>
        <v/>
      </c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34" t="str">
        <f>IF(ISBLANK(A638),"",VLOOKUP(A638,RELACIONES!$G$3:$H$65,2,FALSE()))</f>
        <v/>
      </c>
      <c r="J638" s="35" t="str">
        <f>IF(ISBLANK(A638),"",VLOOKUP(C638,RELACIONES!$A$3:$B$70,2,FALSE))</f>
        <v/>
      </c>
      <c r="K638" s="35" t="str">
        <f>IF(ISBLANK(A638),"",VLOOKUP(J638,RELACIONES!$B$3:$E$83,4,FALSE)*E638)</f>
        <v/>
      </c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34" t="str">
        <f>IF(ISBLANK(A639),"",VLOOKUP(A639,RELACIONES!$G$3:$H$65,2,FALSE()))</f>
        <v/>
      </c>
      <c r="J639" s="35" t="str">
        <f>IF(ISBLANK(A639),"",VLOOKUP(C639,RELACIONES!$A$3:$B$70,2,FALSE))</f>
        <v/>
      </c>
      <c r="K639" s="35" t="str">
        <f>IF(ISBLANK(A639),"",VLOOKUP(J639,RELACIONES!$B$3:$E$83,4,FALSE)*E639)</f>
        <v/>
      </c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34" t="str">
        <f>IF(ISBLANK(A640),"",VLOOKUP(A640,RELACIONES!$G$3:$H$65,2,FALSE()))</f>
        <v/>
      </c>
      <c r="J640" s="35" t="str">
        <f>IF(ISBLANK(A640),"",VLOOKUP(C640,RELACIONES!$A$3:$B$70,2,FALSE))</f>
        <v/>
      </c>
      <c r="K640" s="35" t="str">
        <f>IF(ISBLANK(A640),"",VLOOKUP(J640,RELACIONES!$B$3:$E$83,4,FALSE)*E640)</f>
        <v/>
      </c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34" t="str">
        <f>IF(ISBLANK(A641),"",VLOOKUP(A641,RELACIONES!$G$3:$H$65,2,FALSE()))</f>
        <v/>
      </c>
      <c r="J641" s="35" t="str">
        <f>IF(ISBLANK(A641),"",VLOOKUP(C641,RELACIONES!$A$3:$B$70,2,FALSE))</f>
        <v/>
      </c>
      <c r="K641" s="35" t="str">
        <f>IF(ISBLANK(A641),"",VLOOKUP(J641,RELACIONES!$B$3:$E$83,4,FALSE)*E641)</f>
        <v/>
      </c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34" t="str">
        <f>IF(ISBLANK(A642),"",VLOOKUP(A642,RELACIONES!$G$3:$H$65,2,FALSE()))</f>
        <v/>
      </c>
      <c r="J642" s="35" t="str">
        <f>IF(ISBLANK(A642),"",VLOOKUP(C642,RELACIONES!$A$3:$B$70,2,FALSE))</f>
        <v/>
      </c>
      <c r="K642" s="35" t="str">
        <f>IF(ISBLANK(A642),"",VLOOKUP(J642,RELACIONES!$B$3:$E$83,4,FALSE)*E642)</f>
        <v/>
      </c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34" t="str">
        <f>IF(ISBLANK(A643),"",VLOOKUP(A643,RELACIONES!$G$3:$H$65,2,FALSE()))</f>
        <v/>
      </c>
      <c r="J643" s="35" t="str">
        <f>IF(ISBLANK(A643),"",VLOOKUP(C643,RELACIONES!$A$3:$B$70,2,FALSE))</f>
        <v/>
      </c>
      <c r="K643" s="35" t="str">
        <f>IF(ISBLANK(A643),"",VLOOKUP(J643,RELACIONES!$B$3:$E$83,4,FALSE)*E643)</f>
        <v/>
      </c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34" t="str">
        <f>IF(ISBLANK(A644),"",VLOOKUP(A644,RELACIONES!$G$3:$H$65,2,FALSE()))</f>
        <v/>
      </c>
      <c r="J644" s="35" t="str">
        <f>IF(ISBLANK(A644),"",VLOOKUP(C644,RELACIONES!$A$3:$B$70,2,FALSE))</f>
        <v/>
      </c>
      <c r="K644" s="35" t="str">
        <f>IF(ISBLANK(A644),"",VLOOKUP(J644,RELACIONES!$B$3:$E$83,4,FALSE)*E644)</f>
        <v/>
      </c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34" t="str">
        <f>IF(ISBLANK(A645),"",VLOOKUP(A645,RELACIONES!$G$3:$H$65,2,FALSE()))</f>
        <v/>
      </c>
      <c r="J645" s="35" t="str">
        <f>IF(ISBLANK(A645),"",VLOOKUP(C645,RELACIONES!$A$3:$B$70,2,FALSE))</f>
        <v/>
      </c>
      <c r="K645" s="35" t="str">
        <f>IF(ISBLANK(A645),"",VLOOKUP(J645,RELACIONES!$B$3:$E$83,4,FALSE)*E645)</f>
        <v/>
      </c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34" t="str">
        <f>IF(ISBLANK(A646),"",VLOOKUP(A646,RELACIONES!$G$3:$H$65,2,FALSE()))</f>
        <v/>
      </c>
      <c r="J646" s="35" t="str">
        <f>IF(ISBLANK(A646),"",VLOOKUP(C646,RELACIONES!$A$3:$B$70,2,FALSE))</f>
        <v/>
      </c>
      <c r="K646" s="35" t="str">
        <f>IF(ISBLANK(A646),"",VLOOKUP(J646,RELACIONES!$B$3:$E$83,4,FALSE)*E646)</f>
        <v/>
      </c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34" t="str">
        <f>IF(ISBLANK(A647),"",VLOOKUP(A647,RELACIONES!$G$3:$H$65,2,FALSE()))</f>
        <v/>
      </c>
      <c r="J647" s="35" t="str">
        <f>IF(ISBLANK(A647),"",VLOOKUP(C647,RELACIONES!$A$3:$B$70,2,FALSE))</f>
        <v/>
      </c>
      <c r="K647" s="35" t="str">
        <f>IF(ISBLANK(A647),"",VLOOKUP(J647,RELACIONES!$B$3:$E$83,4,FALSE)*E647)</f>
        <v/>
      </c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34" t="str">
        <f>IF(ISBLANK(A648),"",VLOOKUP(A648,RELACIONES!$G$3:$H$65,2,FALSE()))</f>
        <v/>
      </c>
      <c r="J648" s="35" t="str">
        <f>IF(ISBLANK(A648),"",VLOOKUP(C648,RELACIONES!$A$3:$B$70,2,FALSE))</f>
        <v/>
      </c>
      <c r="K648" s="35" t="str">
        <f>IF(ISBLANK(A648),"",VLOOKUP(J648,RELACIONES!$B$3:$E$83,4,FALSE)*E648)</f>
        <v/>
      </c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34" t="str">
        <f>IF(ISBLANK(A649),"",VLOOKUP(A649,RELACIONES!$G$3:$H$65,2,FALSE()))</f>
        <v/>
      </c>
      <c r="J649" s="35" t="str">
        <f>IF(ISBLANK(A649),"",VLOOKUP(C649,RELACIONES!$A$3:$B$70,2,FALSE))</f>
        <v/>
      </c>
      <c r="K649" s="35" t="str">
        <f>IF(ISBLANK(A649),"",VLOOKUP(J649,RELACIONES!$B$3:$E$83,4,FALSE)*E649)</f>
        <v/>
      </c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34" t="str">
        <f>IF(ISBLANK(A650),"",VLOOKUP(A650,RELACIONES!$G$3:$H$65,2,FALSE()))</f>
        <v/>
      </c>
      <c r="J650" s="35" t="str">
        <f>IF(ISBLANK(A650),"",VLOOKUP(C650,RELACIONES!$A$3:$B$70,2,FALSE))</f>
        <v/>
      </c>
      <c r="K650" s="35" t="str">
        <f>IF(ISBLANK(A650),"",VLOOKUP(J650,RELACIONES!$B$3:$E$83,4,FALSE)*E650)</f>
        <v/>
      </c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34" t="str">
        <f>IF(ISBLANK(A651),"",VLOOKUP(A651,RELACIONES!$G$3:$H$65,2,FALSE()))</f>
        <v/>
      </c>
      <c r="J651" s="35" t="str">
        <f>IF(ISBLANK(A651),"",VLOOKUP(C651,RELACIONES!$A$3:$B$70,2,FALSE))</f>
        <v/>
      </c>
      <c r="K651" s="35" t="str">
        <f>IF(ISBLANK(A651),"",VLOOKUP(J651,RELACIONES!$B$3:$E$83,4,FALSE)*E651)</f>
        <v/>
      </c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34" t="str">
        <f>IF(ISBLANK(A652),"",VLOOKUP(A652,RELACIONES!$G$3:$H$65,2,FALSE()))</f>
        <v/>
      </c>
      <c r="J652" s="35" t="str">
        <f>IF(ISBLANK(A652),"",VLOOKUP(C652,RELACIONES!$A$3:$B$70,2,FALSE))</f>
        <v/>
      </c>
      <c r="K652" s="35" t="str">
        <f>IF(ISBLANK(A652),"",VLOOKUP(J652,RELACIONES!$B$3:$E$83,4,FALSE)*E652)</f>
        <v/>
      </c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34" t="str">
        <f>IF(ISBLANK(A653),"",VLOOKUP(A653,RELACIONES!$G$3:$H$65,2,FALSE()))</f>
        <v/>
      </c>
      <c r="J653" s="35" t="str">
        <f>IF(ISBLANK(A653),"",VLOOKUP(C653,RELACIONES!$A$3:$B$70,2,FALSE))</f>
        <v/>
      </c>
      <c r="K653" s="35" t="str">
        <f>IF(ISBLANK(A653),"",VLOOKUP(J653,RELACIONES!$B$3:$E$83,4,FALSE)*E653)</f>
        <v/>
      </c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34" t="str">
        <f>IF(ISBLANK(A654),"",VLOOKUP(A654,RELACIONES!$G$3:$H$65,2,FALSE()))</f>
        <v/>
      </c>
      <c r="J654" s="35" t="str">
        <f>IF(ISBLANK(A654),"",VLOOKUP(C654,RELACIONES!$A$3:$B$70,2,FALSE))</f>
        <v/>
      </c>
      <c r="K654" s="35" t="str">
        <f>IF(ISBLANK(A654),"",VLOOKUP(J654,RELACIONES!$B$3:$E$83,4,FALSE)*E654)</f>
        <v/>
      </c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34" t="str">
        <f>IF(ISBLANK(A655),"",VLOOKUP(A655,RELACIONES!$G$3:$H$65,2,FALSE()))</f>
        <v/>
      </c>
      <c r="J655" s="35" t="str">
        <f>IF(ISBLANK(A655),"",VLOOKUP(C655,RELACIONES!$A$3:$B$70,2,FALSE))</f>
        <v/>
      </c>
      <c r="K655" s="35" t="str">
        <f>IF(ISBLANK(A655),"",VLOOKUP(J655,RELACIONES!$B$3:$E$83,4,FALSE)*E655)</f>
        <v/>
      </c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34" t="str">
        <f>IF(ISBLANK(A656),"",VLOOKUP(A656,RELACIONES!$G$3:$H$65,2,FALSE()))</f>
        <v/>
      </c>
      <c r="J656" s="35" t="str">
        <f>IF(ISBLANK(A656),"",VLOOKUP(C656,RELACIONES!$A$3:$B$70,2,FALSE))</f>
        <v/>
      </c>
      <c r="K656" s="35" t="str">
        <f>IF(ISBLANK(A656),"",VLOOKUP(J656,RELACIONES!$B$3:$E$83,4,FALSE)*E656)</f>
        <v/>
      </c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34" t="str">
        <f>IF(ISBLANK(A657),"",VLOOKUP(A657,RELACIONES!$G$3:$H$65,2,FALSE()))</f>
        <v/>
      </c>
      <c r="J657" s="35" t="str">
        <f>IF(ISBLANK(A657),"",VLOOKUP(C657,RELACIONES!$A$3:$B$70,2,FALSE))</f>
        <v/>
      </c>
      <c r="K657" s="35" t="str">
        <f>IF(ISBLANK(A657),"",VLOOKUP(J657,RELACIONES!$B$3:$E$83,4,FALSE)*E657)</f>
        <v/>
      </c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34" t="str">
        <f>IF(ISBLANK(A658),"",VLOOKUP(A658,RELACIONES!$G$3:$H$65,2,FALSE()))</f>
        <v/>
      </c>
      <c r="J658" s="35" t="str">
        <f>IF(ISBLANK(A658),"",VLOOKUP(C658,RELACIONES!$A$3:$B$70,2,FALSE))</f>
        <v/>
      </c>
      <c r="K658" s="35" t="str">
        <f>IF(ISBLANK(A658),"",VLOOKUP(J658,RELACIONES!$B$3:$E$83,4,FALSE)*E658)</f>
        <v/>
      </c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34" t="str">
        <f>IF(ISBLANK(A659),"",VLOOKUP(A659,RELACIONES!$G$3:$H$65,2,FALSE()))</f>
        <v/>
      </c>
      <c r="J659" s="35" t="str">
        <f>IF(ISBLANK(A659),"",VLOOKUP(C659,RELACIONES!$A$3:$B$70,2,FALSE))</f>
        <v/>
      </c>
      <c r="K659" s="35" t="str">
        <f>IF(ISBLANK(A659),"",VLOOKUP(J659,RELACIONES!$B$3:$E$83,4,FALSE)*E659)</f>
        <v/>
      </c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34" t="str">
        <f>IF(ISBLANK(A660),"",VLOOKUP(A660,RELACIONES!$G$3:$H$65,2,FALSE()))</f>
        <v/>
      </c>
      <c r="J660" s="35" t="str">
        <f>IF(ISBLANK(A660),"",VLOOKUP(C660,RELACIONES!$A$3:$B$70,2,FALSE))</f>
        <v/>
      </c>
      <c r="K660" s="35" t="str">
        <f>IF(ISBLANK(A660),"",VLOOKUP(J660,RELACIONES!$B$3:$E$83,4,FALSE)*E660)</f>
        <v/>
      </c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34" t="str">
        <f>IF(ISBLANK(A661),"",VLOOKUP(A661,RELACIONES!$G$3:$H$65,2,FALSE()))</f>
        <v/>
      </c>
      <c r="J661" s="35" t="str">
        <f>IF(ISBLANK(A661),"",VLOOKUP(C661,RELACIONES!$A$3:$B$70,2,FALSE))</f>
        <v/>
      </c>
      <c r="K661" s="35" t="str">
        <f>IF(ISBLANK(A661),"",VLOOKUP(J661,RELACIONES!$B$3:$E$83,4,FALSE)*E661)</f>
        <v/>
      </c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34" t="str">
        <f>IF(ISBLANK(A662),"",VLOOKUP(A662,RELACIONES!$G$3:$H$65,2,FALSE()))</f>
        <v/>
      </c>
      <c r="J662" s="35" t="str">
        <f>IF(ISBLANK(A662),"",VLOOKUP(C662,RELACIONES!$A$3:$B$70,2,FALSE))</f>
        <v/>
      </c>
      <c r="K662" s="35" t="str">
        <f>IF(ISBLANK(A662),"",VLOOKUP(J662,RELACIONES!$B$3:$E$83,4,FALSE)*E662)</f>
        <v/>
      </c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34" t="str">
        <f>IF(ISBLANK(A663),"",VLOOKUP(A663,RELACIONES!$G$3:$H$65,2,FALSE()))</f>
        <v/>
      </c>
      <c r="J663" s="35" t="str">
        <f>IF(ISBLANK(A663),"",VLOOKUP(C663,RELACIONES!$A$3:$B$70,2,FALSE))</f>
        <v/>
      </c>
      <c r="K663" s="35" t="str">
        <f>IF(ISBLANK(A663),"",VLOOKUP(J663,RELACIONES!$B$3:$E$83,4,FALSE)*E663)</f>
        <v/>
      </c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34" t="str">
        <f>IF(ISBLANK(A664),"",VLOOKUP(A664,RELACIONES!$G$3:$H$65,2,FALSE()))</f>
        <v/>
      </c>
      <c r="J664" s="35" t="str">
        <f>IF(ISBLANK(A664),"",VLOOKUP(C664,RELACIONES!$A$3:$B$70,2,FALSE))</f>
        <v/>
      </c>
      <c r="K664" s="35" t="str">
        <f>IF(ISBLANK(A664),"",VLOOKUP(J664,RELACIONES!$B$3:$E$83,4,FALSE)*E664)</f>
        <v/>
      </c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34" t="str">
        <f>IF(ISBLANK(A665),"",VLOOKUP(A665,RELACIONES!$G$3:$H$65,2,FALSE()))</f>
        <v/>
      </c>
      <c r="J665" s="35" t="str">
        <f>IF(ISBLANK(A665),"",VLOOKUP(C665,RELACIONES!$A$3:$B$70,2,FALSE))</f>
        <v/>
      </c>
      <c r="K665" s="35" t="str">
        <f>IF(ISBLANK(A665),"",VLOOKUP(J665,RELACIONES!$B$3:$E$83,4,FALSE)*E665)</f>
        <v/>
      </c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34" t="str">
        <f>IF(ISBLANK(A666),"",VLOOKUP(A666,RELACIONES!$G$3:$H$65,2,FALSE()))</f>
        <v/>
      </c>
      <c r="J666" s="35" t="str">
        <f>IF(ISBLANK(A666),"",VLOOKUP(C666,RELACIONES!$A$3:$B$70,2,FALSE))</f>
        <v/>
      </c>
      <c r="K666" s="35" t="str">
        <f>IF(ISBLANK(A666),"",VLOOKUP(J666,RELACIONES!$B$3:$E$83,4,FALSE)*E666)</f>
        <v/>
      </c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34" t="str">
        <f>IF(ISBLANK(A667),"",VLOOKUP(A667,RELACIONES!$G$3:$H$65,2,FALSE()))</f>
        <v/>
      </c>
      <c r="J667" s="35" t="str">
        <f>IF(ISBLANK(A667),"",VLOOKUP(C667,RELACIONES!$A$3:$B$70,2,FALSE))</f>
        <v/>
      </c>
      <c r="K667" s="35" t="str">
        <f>IF(ISBLANK(A667),"",VLOOKUP(J667,RELACIONES!$B$3:$E$83,4,FALSE)*E667)</f>
        <v/>
      </c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34" t="str">
        <f>IF(ISBLANK(A668),"",VLOOKUP(A668,RELACIONES!$G$3:$H$65,2,FALSE()))</f>
        <v/>
      </c>
      <c r="J668" s="35" t="str">
        <f>IF(ISBLANK(A668),"",VLOOKUP(C668,RELACIONES!$A$3:$B$70,2,FALSE))</f>
        <v/>
      </c>
      <c r="K668" s="35" t="str">
        <f>IF(ISBLANK(A668),"",VLOOKUP(J668,RELACIONES!$B$3:$E$83,4,FALSE)*E668)</f>
        <v/>
      </c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34" t="str">
        <f>IF(ISBLANK(A669),"",VLOOKUP(A669,RELACIONES!$G$3:$H$65,2,FALSE()))</f>
        <v/>
      </c>
      <c r="J669" s="35" t="str">
        <f>IF(ISBLANK(A669),"",VLOOKUP(C669,RELACIONES!$A$3:$B$70,2,FALSE))</f>
        <v/>
      </c>
      <c r="K669" s="35" t="str">
        <f>IF(ISBLANK(A669),"",VLOOKUP(J669,RELACIONES!$B$3:$E$83,4,FALSE)*E669)</f>
        <v/>
      </c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34" t="str">
        <f>IF(ISBLANK(A670),"",VLOOKUP(A670,RELACIONES!$G$3:$H$65,2,FALSE()))</f>
        <v/>
      </c>
      <c r="J670" s="35" t="str">
        <f>IF(ISBLANK(A670),"",VLOOKUP(C670,RELACIONES!$A$3:$B$70,2,FALSE))</f>
        <v/>
      </c>
      <c r="K670" s="35" t="str">
        <f>IF(ISBLANK(A670),"",VLOOKUP(J670,RELACIONES!$B$3:$E$83,4,FALSE)*E670)</f>
        <v/>
      </c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34" t="str">
        <f>IF(ISBLANK(A671),"",VLOOKUP(A671,RELACIONES!$G$3:$H$65,2,FALSE()))</f>
        <v/>
      </c>
      <c r="J671" s="35" t="str">
        <f>IF(ISBLANK(A671),"",VLOOKUP(C671,RELACIONES!$A$3:$B$70,2,FALSE))</f>
        <v/>
      </c>
      <c r="K671" s="35" t="str">
        <f>IF(ISBLANK(A671),"",VLOOKUP(J671,RELACIONES!$B$3:$E$83,4,FALSE)*E671)</f>
        <v/>
      </c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34" t="str">
        <f>IF(ISBLANK(A672),"",VLOOKUP(A672,RELACIONES!$G$3:$H$65,2,FALSE()))</f>
        <v/>
      </c>
      <c r="J672" s="35" t="str">
        <f>IF(ISBLANK(A672),"",VLOOKUP(C672,RELACIONES!$A$3:$B$70,2,FALSE))</f>
        <v/>
      </c>
      <c r="K672" s="35" t="str">
        <f>IF(ISBLANK(A672),"",VLOOKUP(J672,RELACIONES!$B$3:$E$83,4,FALSE)*E672)</f>
        <v/>
      </c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34" t="str">
        <f>IF(ISBLANK(A673),"",VLOOKUP(A673,RELACIONES!$G$3:$H$65,2,FALSE()))</f>
        <v/>
      </c>
      <c r="J673" s="35" t="str">
        <f>IF(ISBLANK(A673),"",VLOOKUP(C673,RELACIONES!$A$3:$B$70,2,FALSE))</f>
        <v/>
      </c>
      <c r="K673" s="35" t="str">
        <f>IF(ISBLANK(A673),"",VLOOKUP(J673,RELACIONES!$B$3:$E$83,4,FALSE)*E673)</f>
        <v/>
      </c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34" t="str">
        <f>IF(ISBLANK(A674),"",VLOOKUP(A674,RELACIONES!$G$3:$H$65,2,FALSE()))</f>
        <v/>
      </c>
      <c r="J674" s="35" t="str">
        <f>IF(ISBLANK(A674),"",VLOOKUP(C674,RELACIONES!$A$3:$B$70,2,FALSE))</f>
        <v/>
      </c>
      <c r="K674" s="35" t="str">
        <f>IF(ISBLANK(A674),"",VLOOKUP(J674,RELACIONES!$B$3:$E$83,4,FALSE)*E674)</f>
        <v/>
      </c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34" t="str">
        <f>IF(ISBLANK(A675),"",VLOOKUP(A675,RELACIONES!$G$3:$H$65,2,FALSE()))</f>
        <v/>
      </c>
      <c r="J675" s="35" t="str">
        <f>IF(ISBLANK(A675),"",VLOOKUP(C675,RELACIONES!$A$3:$B$70,2,FALSE))</f>
        <v/>
      </c>
      <c r="K675" s="35" t="str">
        <f>IF(ISBLANK(A675),"",VLOOKUP(J675,RELACIONES!$B$3:$E$83,4,FALSE)*E675)</f>
        <v/>
      </c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34" t="str">
        <f>IF(ISBLANK(A676),"",VLOOKUP(A676,RELACIONES!$G$3:$H$65,2,FALSE()))</f>
        <v/>
      </c>
      <c r="J676" s="35" t="str">
        <f>IF(ISBLANK(A676),"",VLOOKUP(C676,RELACIONES!$A$3:$B$70,2,FALSE))</f>
        <v/>
      </c>
      <c r="K676" s="35" t="str">
        <f>IF(ISBLANK(A676),"",VLOOKUP(J676,RELACIONES!$B$3:$E$83,4,FALSE)*E676)</f>
        <v/>
      </c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34" t="str">
        <f>IF(ISBLANK(A677),"",VLOOKUP(A677,RELACIONES!$G$3:$H$65,2,FALSE()))</f>
        <v/>
      </c>
      <c r="J677" s="35" t="str">
        <f>IF(ISBLANK(A677),"",VLOOKUP(C677,RELACIONES!$A$3:$B$70,2,FALSE))</f>
        <v/>
      </c>
      <c r="K677" s="35" t="str">
        <f>IF(ISBLANK(A677),"",VLOOKUP(J677,RELACIONES!$B$3:$E$83,4,FALSE)*E677)</f>
        <v/>
      </c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34" t="str">
        <f>IF(ISBLANK(A678),"",VLOOKUP(A678,RELACIONES!$G$3:$H$65,2,FALSE()))</f>
        <v/>
      </c>
      <c r="J678" s="35" t="str">
        <f>IF(ISBLANK(A678),"",VLOOKUP(C678,RELACIONES!$A$3:$B$70,2,FALSE))</f>
        <v/>
      </c>
      <c r="K678" s="35" t="str">
        <f>IF(ISBLANK(A678),"",VLOOKUP(J678,RELACIONES!$B$3:$E$83,4,FALSE)*E678)</f>
        <v/>
      </c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34" t="str">
        <f>IF(ISBLANK(A679),"",VLOOKUP(A679,RELACIONES!$G$3:$H$65,2,FALSE()))</f>
        <v/>
      </c>
      <c r="J679" s="35" t="str">
        <f>IF(ISBLANK(A679),"",VLOOKUP(C679,RELACIONES!$A$3:$B$70,2,FALSE))</f>
        <v/>
      </c>
      <c r="K679" s="35" t="str">
        <f>IF(ISBLANK(A679),"",VLOOKUP(J679,RELACIONES!$B$3:$E$83,4,FALSE)*E679)</f>
        <v/>
      </c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34" t="str">
        <f>IF(ISBLANK(A680),"",VLOOKUP(A680,RELACIONES!$G$3:$H$65,2,FALSE()))</f>
        <v/>
      </c>
      <c r="J680" s="35" t="str">
        <f>IF(ISBLANK(A680),"",VLOOKUP(C680,RELACIONES!$A$3:$B$70,2,FALSE))</f>
        <v/>
      </c>
      <c r="K680" s="35" t="str">
        <f>IF(ISBLANK(A680),"",VLOOKUP(J680,RELACIONES!$B$3:$E$83,4,FALSE)*E680)</f>
        <v/>
      </c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34" t="str">
        <f>IF(ISBLANK(A681),"",VLOOKUP(A681,RELACIONES!$G$3:$H$65,2,FALSE()))</f>
        <v/>
      </c>
      <c r="J681" s="35" t="str">
        <f>IF(ISBLANK(A681),"",VLOOKUP(C681,RELACIONES!$A$3:$B$70,2,FALSE))</f>
        <v/>
      </c>
      <c r="K681" s="35" t="str">
        <f>IF(ISBLANK(A681),"",VLOOKUP(J681,RELACIONES!$B$3:$E$83,4,FALSE)*E681)</f>
        <v/>
      </c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34" t="str">
        <f>IF(ISBLANK(A682),"",VLOOKUP(A682,RELACIONES!$G$3:$H$65,2,FALSE()))</f>
        <v/>
      </c>
      <c r="J682" s="35" t="str">
        <f>IF(ISBLANK(A682),"",VLOOKUP(C682,RELACIONES!$A$3:$B$70,2,FALSE))</f>
        <v/>
      </c>
      <c r="K682" s="35" t="str">
        <f>IF(ISBLANK(A682),"",VLOOKUP(J682,RELACIONES!$B$3:$E$83,4,FALSE)*E682)</f>
        <v/>
      </c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34" t="str">
        <f>IF(ISBLANK(A683),"",VLOOKUP(A683,RELACIONES!$G$3:$H$65,2,FALSE()))</f>
        <v/>
      </c>
      <c r="J683" s="35" t="str">
        <f>IF(ISBLANK(A683),"",VLOOKUP(C683,RELACIONES!$A$3:$B$70,2,FALSE))</f>
        <v/>
      </c>
      <c r="K683" s="35" t="str">
        <f>IF(ISBLANK(A683),"",VLOOKUP(J683,RELACIONES!$B$3:$E$83,4,FALSE)*E683)</f>
        <v/>
      </c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34" t="str">
        <f>IF(ISBLANK(A684),"",VLOOKUP(A684,RELACIONES!$G$3:$H$65,2,FALSE()))</f>
        <v/>
      </c>
      <c r="J684" s="35" t="str">
        <f>IF(ISBLANK(A684),"",VLOOKUP(C684,RELACIONES!$A$3:$B$70,2,FALSE))</f>
        <v/>
      </c>
      <c r="K684" s="35" t="str">
        <f>IF(ISBLANK(A684),"",VLOOKUP(J684,RELACIONES!$B$3:$E$83,4,FALSE)*E684)</f>
        <v/>
      </c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34" t="str">
        <f>IF(ISBLANK(A685),"",VLOOKUP(A685,RELACIONES!$G$3:$H$65,2,FALSE()))</f>
        <v/>
      </c>
      <c r="J685" s="35" t="str">
        <f>IF(ISBLANK(A685),"",VLOOKUP(C685,RELACIONES!$A$3:$B$70,2,FALSE))</f>
        <v/>
      </c>
      <c r="K685" s="35" t="str">
        <f>IF(ISBLANK(A685),"",VLOOKUP(J685,RELACIONES!$B$3:$E$83,4,FALSE)*E685)</f>
        <v/>
      </c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34" t="str">
        <f>IF(ISBLANK(A686),"",VLOOKUP(A686,RELACIONES!$G$3:$H$65,2,FALSE()))</f>
        <v/>
      </c>
      <c r="J686" s="35" t="str">
        <f>IF(ISBLANK(A686),"",VLOOKUP(C686,RELACIONES!$A$3:$B$70,2,FALSE))</f>
        <v/>
      </c>
      <c r="K686" s="35" t="str">
        <f>IF(ISBLANK(A686),"",VLOOKUP(J686,RELACIONES!$B$3:$E$83,4,FALSE)*E686)</f>
        <v/>
      </c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34" t="str">
        <f>IF(ISBLANK(A687),"",VLOOKUP(A687,RELACIONES!$G$3:$H$65,2,FALSE()))</f>
        <v/>
      </c>
      <c r="J687" s="35" t="str">
        <f>IF(ISBLANK(A687),"",VLOOKUP(C687,RELACIONES!$A$3:$B$70,2,FALSE))</f>
        <v/>
      </c>
      <c r="K687" s="35" t="str">
        <f>IF(ISBLANK(A687),"",VLOOKUP(J687,RELACIONES!$B$3:$E$83,4,FALSE)*E687)</f>
        <v/>
      </c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34" t="str">
        <f>IF(ISBLANK(A688),"",VLOOKUP(A688,RELACIONES!$G$3:$H$65,2,FALSE()))</f>
        <v/>
      </c>
      <c r="J688" s="35" t="str">
        <f>IF(ISBLANK(A688),"",VLOOKUP(C688,RELACIONES!$A$3:$B$70,2,FALSE))</f>
        <v/>
      </c>
      <c r="K688" s="35" t="str">
        <f>IF(ISBLANK(A688),"",VLOOKUP(J688,RELACIONES!$B$3:$E$83,4,FALSE)*E688)</f>
        <v/>
      </c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34" t="str">
        <f>IF(ISBLANK(A689),"",VLOOKUP(A689,RELACIONES!$G$3:$H$65,2,FALSE()))</f>
        <v/>
      </c>
      <c r="J689" s="35" t="str">
        <f>IF(ISBLANK(A689),"",VLOOKUP(C689,RELACIONES!$A$3:$B$70,2,FALSE))</f>
        <v/>
      </c>
      <c r="K689" s="35" t="str">
        <f>IF(ISBLANK(A689),"",VLOOKUP(J689,RELACIONES!$B$3:$E$83,4,FALSE)*E689)</f>
        <v/>
      </c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34" t="str">
        <f>IF(ISBLANK(A690),"",VLOOKUP(A690,RELACIONES!$G$3:$H$65,2,FALSE()))</f>
        <v/>
      </c>
      <c r="J690" s="35" t="str">
        <f>IF(ISBLANK(A690),"",VLOOKUP(C690,RELACIONES!$A$3:$B$70,2,FALSE))</f>
        <v/>
      </c>
      <c r="K690" s="35" t="str">
        <f>IF(ISBLANK(A690),"",VLOOKUP(J690,RELACIONES!$B$3:$E$83,4,FALSE)*E690)</f>
        <v/>
      </c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34" t="str">
        <f>IF(ISBLANK(A691),"",VLOOKUP(A691,RELACIONES!$G$3:$H$65,2,FALSE()))</f>
        <v/>
      </c>
      <c r="J691" s="35" t="str">
        <f>IF(ISBLANK(A691),"",VLOOKUP(C691,RELACIONES!$A$3:$B$70,2,FALSE))</f>
        <v/>
      </c>
      <c r="K691" s="35" t="str">
        <f>IF(ISBLANK(A691),"",VLOOKUP(J691,RELACIONES!$B$3:$E$83,4,FALSE)*E691)</f>
        <v/>
      </c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34" t="str">
        <f>IF(ISBLANK(A692),"",VLOOKUP(A692,RELACIONES!$G$3:$H$65,2,FALSE()))</f>
        <v/>
      </c>
      <c r="J692" s="35" t="str">
        <f>IF(ISBLANK(A692),"",VLOOKUP(C692,RELACIONES!$A$3:$B$70,2,FALSE))</f>
        <v/>
      </c>
      <c r="K692" s="35" t="str">
        <f>IF(ISBLANK(A692),"",VLOOKUP(J692,RELACIONES!$B$3:$E$83,4,FALSE)*E692)</f>
        <v/>
      </c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34" t="str">
        <f>IF(ISBLANK(A693),"",VLOOKUP(A693,RELACIONES!$G$3:$H$65,2,FALSE()))</f>
        <v/>
      </c>
      <c r="J693" s="35" t="str">
        <f>IF(ISBLANK(A693),"",VLOOKUP(C693,RELACIONES!$A$3:$B$70,2,FALSE))</f>
        <v/>
      </c>
      <c r="K693" s="35" t="str">
        <f>IF(ISBLANK(A693),"",VLOOKUP(J693,RELACIONES!$B$3:$E$83,4,FALSE)*E693)</f>
        <v/>
      </c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34" t="str">
        <f>IF(ISBLANK(A694),"",VLOOKUP(A694,RELACIONES!$G$3:$H$65,2,FALSE()))</f>
        <v/>
      </c>
      <c r="J694" s="35" t="str">
        <f>IF(ISBLANK(A694),"",VLOOKUP(C694,RELACIONES!$A$3:$B$70,2,FALSE))</f>
        <v/>
      </c>
      <c r="K694" s="35" t="str">
        <f>IF(ISBLANK(A694),"",VLOOKUP(J694,RELACIONES!$B$3:$E$83,4,FALSE)*E694)</f>
        <v/>
      </c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34" t="str">
        <f>IF(ISBLANK(A695),"",VLOOKUP(A695,RELACIONES!$G$3:$H$65,2,FALSE()))</f>
        <v/>
      </c>
      <c r="J695" s="35" t="str">
        <f>IF(ISBLANK(A695),"",VLOOKUP(C695,RELACIONES!$A$3:$B$70,2,FALSE))</f>
        <v/>
      </c>
      <c r="K695" s="35" t="str">
        <f>IF(ISBLANK(A695),"",VLOOKUP(J695,RELACIONES!$B$3:$E$83,4,FALSE)*E695)</f>
        <v/>
      </c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34" t="str">
        <f>IF(ISBLANK(A696),"",VLOOKUP(A696,RELACIONES!$G$3:$H$65,2,FALSE()))</f>
        <v/>
      </c>
      <c r="J696" s="35" t="str">
        <f>IF(ISBLANK(A696),"",VLOOKUP(C696,RELACIONES!$A$3:$B$70,2,FALSE))</f>
        <v/>
      </c>
      <c r="K696" s="35" t="str">
        <f>IF(ISBLANK(A696),"",VLOOKUP(J696,RELACIONES!$B$3:$E$83,4,FALSE)*E696)</f>
        <v/>
      </c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34" t="str">
        <f>IF(ISBLANK(A697),"",VLOOKUP(A697,RELACIONES!$G$3:$H$65,2,FALSE()))</f>
        <v/>
      </c>
      <c r="J697" s="35" t="str">
        <f>IF(ISBLANK(A697),"",VLOOKUP(C697,RELACIONES!$A$3:$B$70,2,FALSE))</f>
        <v/>
      </c>
      <c r="K697" s="35" t="str">
        <f>IF(ISBLANK(A697),"",VLOOKUP(J697,RELACIONES!$B$3:$E$83,4,FALSE)*E697)</f>
        <v/>
      </c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34" t="str">
        <f>IF(ISBLANK(A698),"",VLOOKUP(A698,RELACIONES!$G$3:$H$65,2,FALSE()))</f>
        <v/>
      </c>
      <c r="J698" s="35" t="str">
        <f>IF(ISBLANK(A698),"",VLOOKUP(C698,RELACIONES!$A$3:$B$70,2,FALSE))</f>
        <v/>
      </c>
      <c r="K698" s="35" t="str">
        <f>IF(ISBLANK(A698),"",VLOOKUP(J698,RELACIONES!$B$3:$E$83,4,FALSE)*E698)</f>
        <v/>
      </c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34" t="str">
        <f>IF(ISBLANK(A699),"",VLOOKUP(A699,RELACIONES!$G$3:$H$65,2,FALSE()))</f>
        <v/>
      </c>
      <c r="J699" s="35" t="str">
        <f>IF(ISBLANK(A699),"",VLOOKUP(C699,RELACIONES!$A$3:$B$70,2,FALSE))</f>
        <v/>
      </c>
      <c r="K699" s="35" t="str">
        <f>IF(ISBLANK(A699),"",VLOOKUP(J699,RELACIONES!$B$3:$E$83,4,FALSE)*E699)</f>
        <v/>
      </c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34" t="str">
        <f>IF(ISBLANK(A700),"",VLOOKUP(A700,RELACIONES!$G$3:$H$65,2,FALSE()))</f>
        <v/>
      </c>
      <c r="J700" s="35" t="str">
        <f>IF(ISBLANK(A700),"",VLOOKUP(C700,RELACIONES!$A$3:$B$70,2,FALSE))</f>
        <v/>
      </c>
      <c r="K700" s="35" t="str">
        <f>IF(ISBLANK(A700),"",VLOOKUP(J700,RELACIONES!$B$3:$E$83,4,FALSE)*E700)</f>
        <v/>
      </c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34" t="str">
        <f>IF(ISBLANK(A701),"",VLOOKUP(A701,RELACIONES!$G$3:$H$65,2,FALSE()))</f>
        <v/>
      </c>
      <c r="J701" s="35" t="str">
        <f>IF(ISBLANK(A701),"",VLOOKUP(C701,RELACIONES!$A$3:$B$70,2,FALSE))</f>
        <v/>
      </c>
      <c r="K701" s="35" t="str">
        <f>IF(ISBLANK(A701),"",VLOOKUP(J701,RELACIONES!$B$3:$E$83,4,FALSE)*E701)</f>
        <v/>
      </c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34" t="str">
        <f>IF(ISBLANK(A702),"",VLOOKUP(A702,RELACIONES!$G$3:$H$65,2,FALSE()))</f>
        <v/>
      </c>
      <c r="J702" s="35" t="str">
        <f>IF(ISBLANK(A702),"",VLOOKUP(C702,RELACIONES!$A$3:$B$70,2,FALSE))</f>
        <v/>
      </c>
      <c r="K702" s="35" t="str">
        <f>IF(ISBLANK(A702),"",VLOOKUP(J702,RELACIONES!$B$3:$E$83,4,FALSE)*E702)</f>
        <v/>
      </c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34" t="str">
        <f>IF(ISBLANK(A703),"",VLOOKUP(A703,RELACIONES!$G$3:$H$65,2,FALSE()))</f>
        <v/>
      </c>
      <c r="J703" s="35" t="str">
        <f>IF(ISBLANK(A703),"",VLOOKUP(C703,RELACIONES!$A$3:$B$70,2,FALSE))</f>
        <v/>
      </c>
      <c r="K703" s="35" t="str">
        <f>IF(ISBLANK(A703),"",VLOOKUP(J703,RELACIONES!$B$3:$E$83,4,FALSE)*E703)</f>
        <v/>
      </c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34" t="str">
        <f>IF(ISBLANK(A704),"",VLOOKUP(A704,RELACIONES!$G$3:$H$65,2,FALSE()))</f>
        <v/>
      </c>
      <c r="J704" s="35" t="str">
        <f>IF(ISBLANK(A704),"",VLOOKUP(C704,RELACIONES!$A$3:$B$70,2,FALSE))</f>
        <v/>
      </c>
      <c r="K704" s="35" t="str">
        <f>IF(ISBLANK(A704),"",VLOOKUP(J704,RELACIONES!$B$3:$E$83,4,FALSE)*E704)</f>
        <v/>
      </c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34" t="str">
        <f>IF(ISBLANK(A705),"",VLOOKUP(A705,RELACIONES!$G$3:$H$65,2,FALSE()))</f>
        <v/>
      </c>
      <c r="J705" s="35" t="str">
        <f>IF(ISBLANK(A705),"",VLOOKUP(C705,RELACIONES!$A$3:$B$70,2,FALSE))</f>
        <v/>
      </c>
      <c r="K705" s="35" t="str">
        <f>IF(ISBLANK(A705),"",VLOOKUP(J705,RELACIONES!$B$3:$E$83,4,FALSE)*E705)</f>
        <v/>
      </c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34" t="str">
        <f>IF(ISBLANK(A706),"",VLOOKUP(A706,RELACIONES!$G$3:$H$65,2,FALSE()))</f>
        <v/>
      </c>
      <c r="J706" s="35" t="str">
        <f>IF(ISBLANK(A706),"",VLOOKUP(C706,RELACIONES!$A$3:$B$70,2,FALSE))</f>
        <v/>
      </c>
      <c r="K706" s="35" t="str">
        <f>IF(ISBLANK(A706),"",VLOOKUP(J706,RELACIONES!$B$3:$E$83,4,FALSE)*E706)</f>
        <v/>
      </c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34" t="str">
        <f>IF(ISBLANK(A707),"",VLOOKUP(A707,RELACIONES!$G$3:$H$65,2,FALSE()))</f>
        <v/>
      </c>
      <c r="J707" s="35" t="str">
        <f>IF(ISBLANK(A707),"",VLOOKUP(C707,RELACIONES!$A$3:$B$70,2,FALSE))</f>
        <v/>
      </c>
      <c r="K707" s="35" t="str">
        <f>IF(ISBLANK(A707),"",VLOOKUP(J707,RELACIONES!$B$3:$E$83,4,FALSE)*E707)</f>
        <v/>
      </c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34" t="str">
        <f>IF(ISBLANK(A708),"",VLOOKUP(A708,RELACIONES!$G$3:$H$65,2,FALSE()))</f>
        <v/>
      </c>
      <c r="J708" s="35" t="str">
        <f>IF(ISBLANK(A708),"",VLOOKUP(C708,RELACIONES!$A$3:$B$70,2,FALSE))</f>
        <v/>
      </c>
      <c r="K708" s="35" t="str">
        <f>IF(ISBLANK(A708),"",VLOOKUP(J708,RELACIONES!$B$3:$E$83,4,FALSE)*E708)</f>
        <v/>
      </c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34" t="str">
        <f>IF(ISBLANK(A709),"",VLOOKUP(A709,RELACIONES!$G$3:$H$65,2,FALSE()))</f>
        <v/>
      </c>
      <c r="J709" s="35" t="str">
        <f>IF(ISBLANK(A709),"",VLOOKUP(C709,RELACIONES!$A$3:$B$70,2,FALSE))</f>
        <v/>
      </c>
      <c r="K709" s="35" t="str">
        <f>IF(ISBLANK(A709),"",VLOOKUP(J709,RELACIONES!$B$3:$E$83,4,FALSE)*E709)</f>
        <v/>
      </c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34" t="str">
        <f>IF(ISBLANK(A710),"",VLOOKUP(A710,RELACIONES!$G$3:$H$65,2,FALSE()))</f>
        <v/>
      </c>
      <c r="J710" s="35" t="str">
        <f>IF(ISBLANK(A710),"",VLOOKUP(C710,RELACIONES!$A$3:$B$70,2,FALSE))</f>
        <v/>
      </c>
      <c r="K710" s="35" t="str">
        <f>IF(ISBLANK(A710),"",VLOOKUP(J710,RELACIONES!$B$3:$E$83,4,FALSE)*E710)</f>
        <v/>
      </c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34" t="str">
        <f>IF(ISBLANK(A711),"",VLOOKUP(A711,RELACIONES!$G$3:$H$65,2,FALSE()))</f>
        <v/>
      </c>
      <c r="J711" s="35" t="str">
        <f>IF(ISBLANK(A711),"",VLOOKUP(C711,RELACIONES!$A$3:$B$70,2,FALSE))</f>
        <v/>
      </c>
      <c r="K711" s="35" t="str">
        <f>IF(ISBLANK(A711),"",VLOOKUP(J711,RELACIONES!$B$3:$E$83,4,FALSE)*E711)</f>
        <v/>
      </c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34" t="str">
        <f>IF(ISBLANK(A712),"",VLOOKUP(A712,RELACIONES!$G$3:$H$65,2,FALSE()))</f>
        <v/>
      </c>
      <c r="J712" s="35" t="str">
        <f>IF(ISBLANK(A712),"",VLOOKUP(C712,RELACIONES!$A$3:$B$70,2,FALSE))</f>
        <v/>
      </c>
      <c r="K712" s="35" t="str">
        <f>IF(ISBLANK(A712),"",VLOOKUP(J712,RELACIONES!$B$3:$E$83,4,FALSE)*E712)</f>
        <v/>
      </c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34" t="str">
        <f>IF(ISBLANK(A713),"",VLOOKUP(A713,RELACIONES!$G$3:$H$65,2,FALSE()))</f>
        <v/>
      </c>
      <c r="J713" s="35" t="str">
        <f>IF(ISBLANK(A713),"",VLOOKUP(C713,RELACIONES!$A$3:$B$70,2,FALSE))</f>
        <v/>
      </c>
      <c r="K713" s="35" t="str">
        <f>IF(ISBLANK(A713),"",VLOOKUP(J713,RELACIONES!$B$3:$E$83,4,FALSE)*E713)</f>
        <v/>
      </c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34" t="str">
        <f>IF(ISBLANK(A714),"",VLOOKUP(A714,RELACIONES!$G$3:$H$65,2,FALSE()))</f>
        <v/>
      </c>
      <c r="J714" s="35" t="str">
        <f>IF(ISBLANK(A714),"",VLOOKUP(C714,RELACIONES!$A$3:$B$70,2,FALSE))</f>
        <v/>
      </c>
      <c r="K714" s="35" t="str">
        <f>IF(ISBLANK(A714),"",VLOOKUP(J714,RELACIONES!$B$3:$E$83,4,FALSE)*E714)</f>
        <v/>
      </c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34" t="str">
        <f>IF(ISBLANK(A715),"",VLOOKUP(A715,RELACIONES!$G$3:$H$65,2,FALSE()))</f>
        <v/>
      </c>
      <c r="J715" s="35" t="str">
        <f>IF(ISBLANK(A715),"",VLOOKUP(C715,RELACIONES!$A$3:$B$70,2,FALSE))</f>
        <v/>
      </c>
      <c r="K715" s="35" t="str">
        <f>IF(ISBLANK(A715),"",VLOOKUP(J715,RELACIONES!$B$3:$E$83,4,FALSE)*E715)</f>
        <v/>
      </c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34" t="str">
        <f>IF(ISBLANK(A716),"",VLOOKUP(A716,RELACIONES!$G$3:$H$65,2,FALSE()))</f>
        <v/>
      </c>
      <c r="J716" s="35" t="str">
        <f>IF(ISBLANK(A716),"",VLOOKUP(C716,RELACIONES!$A$3:$B$70,2,FALSE))</f>
        <v/>
      </c>
      <c r="K716" s="35" t="str">
        <f>IF(ISBLANK(A716),"",VLOOKUP(J716,RELACIONES!$B$3:$E$83,4,FALSE)*E716)</f>
        <v/>
      </c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34" t="str">
        <f>IF(ISBLANK(A717),"",VLOOKUP(A717,RELACIONES!$G$3:$H$65,2,FALSE()))</f>
        <v/>
      </c>
      <c r="J717" s="35" t="str">
        <f>IF(ISBLANK(A717),"",VLOOKUP(C717,RELACIONES!$A$3:$B$70,2,FALSE))</f>
        <v/>
      </c>
      <c r="K717" s="35" t="str">
        <f>IF(ISBLANK(A717),"",VLOOKUP(J717,RELACIONES!$B$3:$E$83,4,FALSE)*E717)</f>
        <v/>
      </c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34" t="str">
        <f>IF(ISBLANK(A718),"",VLOOKUP(A718,RELACIONES!$G$3:$H$65,2,FALSE()))</f>
        <v/>
      </c>
      <c r="J718" s="35" t="str">
        <f>IF(ISBLANK(A718),"",VLOOKUP(C718,RELACIONES!$A$3:$B$70,2,FALSE))</f>
        <v/>
      </c>
      <c r="K718" s="35" t="str">
        <f>IF(ISBLANK(A718),"",VLOOKUP(J718,RELACIONES!$B$3:$E$83,4,FALSE)*E718)</f>
        <v/>
      </c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34" t="str">
        <f>IF(ISBLANK(A719),"",VLOOKUP(A719,RELACIONES!$G$3:$H$65,2,FALSE()))</f>
        <v/>
      </c>
      <c r="J719" s="35" t="str">
        <f>IF(ISBLANK(A719),"",VLOOKUP(C719,RELACIONES!$A$3:$B$70,2,FALSE))</f>
        <v/>
      </c>
      <c r="K719" s="35" t="str">
        <f>IF(ISBLANK(A719),"",VLOOKUP(J719,RELACIONES!$B$3:$E$83,4,FALSE)*E719)</f>
        <v/>
      </c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34" t="str">
        <f>IF(ISBLANK(A720),"",VLOOKUP(A720,RELACIONES!$G$3:$H$65,2,FALSE()))</f>
        <v/>
      </c>
      <c r="J720" s="35" t="str">
        <f>IF(ISBLANK(A720),"",VLOOKUP(C720,RELACIONES!$A$3:$B$70,2,FALSE))</f>
        <v/>
      </c>
      <c r="K720" s="35" t="str">
        <f>IF(ISBLANK(A720),"",VLOOKUP(J720,RELACIONES!$B$3:$E$83,4,FALSE)*E720)</f>
        <v/>
      </c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34" t="str">
        <f>IF(ISBLANK(A721),"",VLOOKUP(A721,RELACIONES!$G$3:$H$65,2,FALSE()))</f>
        <v/>
      </c>
      <c r="J721" s="35" t="str">
        <f>IF(ISBLANK(A721),"",VLOOKUP(C721,RELACIONES!$A$3:$B$70,2,FALSE))</f>
        <v/>
      </c>
      <c r="K721" s="35" t="str">
        <f>IF(ISBLANK(A721),"",VLOOKUP(J721,RELACIONES!$B$3:$E$83,4,FALSE)*E721)</f>
        <v/>
      </c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34" t="str">
        <f>IF(ISBLANK(A722),"",VLOOKUP(A722,RELACIONES!$G$3:$H$65,2,FALSE()))</f>
        <v/>
      </c>
      <c r="J722" s="35" t="str">
        <f>IF(ISBLANK(A722),"",VLOOKUP(C722,RELACIONES!$A$3:$B$70,2,FALSE))</f>
        <v/>
      </c>
      <c r="K722" s="35" t="str">
        <f>IF(ISBLANK(A722),"",VLOOKUP(J722,RELACIONES!$B$3:$E$83,4,FALSE)*E722)</f>
        <v/>
      </c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34" t="str">
        <f>IF(ISBLANK(A723),"",VLOOKUP(A723,RELACIONES!$G$3:$H$65,2,FALSE()))</f>
        <v/>
      </c>
      <c r="J723" s="35" t="str">
        <f>IF(ISBLANK(A723),"",VLOOKUP(C723,RELACIONES!$A$3:$B$70,2,FALSE))</f>
        <v/>
      </c>
      <c r="K723" s="35" t="str">
        <f>IF(ISBLANK(A723),"",VLOOKUP(J723,RELACIONES!$B$3:$E$83,4,FALSE)*E723)</f>
        <v/>
      </c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34" t="str">
        <f>IF(ISBLANK(A724),"",VLOOKUP(A724,RELACIONES!$G$3:$H$65,2,FALSE()))</f>
        <v/>
      </c>
      <c r="J724" s="35" t="str">
        <f>IF(ISBLANK(A724),"",VLOOKUP(C724,RELACIONES!$A$3:$B$70,2,FALSE))</f>
        <v/>
      </c>
      <c r="K724" s="35" t="str">
        <f>IF(ISBLANK(A724),"",VLOOKUP(J724,RELACIONES!$B$3:$E$83,4,FALSE)*E724)</f>
        <v/>
      </c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34" t="str">
        <f>IF(ISBLANK(A725),"",VLOOKUP(A725,RELACIONES!$G$3:$H$65,2,FALSE()))</f>
        <v/>
      </c>
      <c r="J725" s="35" t="str">
        <f>IF(ISBLANK(A725),"",VLOOKUP(C725,RELACIONES!$A$3:$B$70,2,FALSE))</f>
        <v/>
      </c>
      <c r="K725" s="35" t="str">
        <f>IF(ISBLANK(A725),"",VLOOKUP(J725,RELACIONES!$B$3:$E$83,4,FALSE)*E725)</f>
        <v/>
      </c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34" t="str">
        <f>IF(ISBLANK(A726),"",VLOOKUP(A726,RELACIONES!$G$3:$H$65,2,FALSE()))</f>
        <v/>
      </c>
      <c r="J726" s="35" t="str">
        <f>IF(ISBLANK(A726),"",VLOOKUP(C726,RELACIONES!$A$3:$B$70,2,FALSE))</f>
        <v/>
      </c>
      <c r="K726" s="35" t="str">
        <f>IF(ISBLANK(A726),"",VLOOKUP(J726,RELACIONES!$B$3:$E$83,4,FALSE)*E726)</f>
        <v/>
      </c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34" t="str">
        <f>IF(ISBLANK(A727),"",VLOOKUP(A727,RELACIONES!$G$3:$H$65,2,FALSE()))</f>
        <v/>
      </c>
      <c r="J727" s="35" t="str">
        <f>IF(ISBLANK(A727),"",VLOOKUP(C727,RELACIONES!$A$3:$B$70,2,FALSE))</f>
        <v/>
      </c>
      <c r="K727" s="35" t="str">
        <f>IF(ISBLANK(A727),"",VLOOKUP(J727,RELACIONES!$B$3:$E$83,4,FALSE)*E727)</f>
        <v/>
      </c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34" t="str">
        <f>IF(ISBLANK(A728),"",VLOOKUP(A728,RELACIONES!$G$3:$H$65,2,FALSE()))</f>
        <v/>
      </c>
      <c r="J728" s="35" t="str">
        <f>IF(ISBLANK(A728),"",VLOOKUP(C728,RELACIONES!$A$3:$B$70,2,FALSE))</f>
        <v/>
      </c>
      <c r="K728" s="35" t="str">
        <f>IF(ISBLANK(A728),"",VLOOKUP(J728,RELACIONES!$B$3:$E$83,4,FALSE)*E728)</f>
        <v/>
      </c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34" t="str">
        <f>IF(ISBLANK(A729),"",VLOOKUP(A729,RELACIONES!$G$3:$H$65,2,FALSE()))</f>
        <v/>
      </c>
      <c r="J729" s="35" t="str">
        <f>IF(ISBLANK(A729),"",VLOOKUP(C729,RELACIONES!$A$3:$B$70,2,FALSE))</f>
        <v/>
      </c>
      <c r="K729" s="35" t="str">
        <f>IF(ISBLANK(A729),"",VLOOKUP(J729,RELACIONES!$B$3:$E$83,4,FALSE)*E729)</f>
        <v/>
      </c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34" t="str">
        <f>IF(ISBLANK(A730),"",VLOOKUP(A730,RELACIONES!$G$3:$H$65,2,FALSE()))</f>
        <v/>
      </c>
      <c r="J730" s="35" t="str">
        <f>IF(ISBLANK(A730),"",VLOOKUP(C730,RELACIONES!$A$3:$B$70,2,FALSE))</f>
        <v/>
      </c>
      <c r="K730" s="35" t="str">
        <f>IF(ISBLANK(A730),"",VLOOKUP(J730,RELACIONES!$B$3:$E$83,4,FALSE)*E730)</f>
        <v/>
      </c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34" t="str">
        <f>IF(ISBLANK(A731),"",VLOOKUP(A731,RELACIONES!$G$3:$H$65,2,FALSE()))</f>
        <v/>
      </c>
      <c r="J731" s="35" t="str">
        <f>IF(ISBLANK(A731),"",VLOOKUP(C731,RELACIONES!$A$3:$B$70,2,FALSE))</f>
        <v/>
      </c>
      <c r="K731" s="35" t="str">
        <f>IF(ISBLANK(A731),"",VLOOKUP(J731,RELACIONES!$B$3:$E$83,4,FALSE)*E731)</f>
        <v/>
      </c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34" t="str">
        <f>IF(ISBLANK(A732),"",VLOOKUP(A732,RELACIONES!$G$3:$H$65,2,FALSE()))</f>
        <v/>
      </c>
      <c r="J732" s="35" t="str">
        <f>IF(ISBLANK(A732),"",VLOOKUP(C732,RELACIONES!$A$3:$B$70,2,FALSE))</f>
        <v/>
      </c>
      <c r="K732" s="35" t="str">
        <f>IF(ISBLANK(A732),"",VLOOKUP(J732,RELACIONES!$B$3:$E$83,4,FALSE)*E732)</f>
        <v/>
      </c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34" t="str">
        <f>IF(ISBLANK(A733),"",VLOOKUP(A733,RELACIONES!$G$3:$H$65,2,FALSE()))</f>
        <v/>
      </c>
      <c r="J733" s="35" t="str">
        <f>IF(ISBLANK(A733),"",VLOOKUP(C733,RELACIONES!$A$3:$B$70,2,FALSE))</f>
        <v/>
      </c>
      <c r="K733" s="35" t="str">
        <f>IF(ISBLANK(A733),"",VLOOKUP(J733,RELACIONES!$B$3:$E$83,4,FALSE)*E733)</f>
        <v/>
      </c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34" t="str">
        <f>IF(ISBLANK(A734),"",VLOOKUP(A734,RELACIONES!$G$3:$H$65,2,FALSE()))</f>
        <v/>
      </c>
      <c r="J734" s="35" t="str">
        <f>IF(ISBLANK(A734),"",VLOOKUP(C734,RELACIONES!$A$3:$B$70,2,FALSE))</f>
        <v/>
      </c>
      <c r="K734" s="35" t="str">
        <f>IF(ISBLANK(A734),"",VLOOKUP(J734,RELACIONES!$B$3:$E$83,4,FALSE)*E734)</f>
        <v/>
      </c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34" t="str">
        <f>IF(ISBLANK(A735),"",VLOOKUP(A735,RELACIONES!$G$3:$H$65,2,FALSE()))</f>
        <v/>
      </c>
      <c r="J735" s="35" t="str">
        <f>IF(ISBLANK(A735),"",VLOOKUP(C735,RELACIONES!$A$3:$B$70,2,FALSE))</f>
        <v/>
      </c>
      <c r="K735" s="35" t="str">
        <f>IF(ISBLANK(A735),"",VLOOKUP(J735,RELACIONES!$B$3:$E$83,4,FALSE)*E735)</f>
        <v/>
      </c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34" t="str">
        <f>IF(ISBLANK(A736),"",VLOOKUP(A736,RELACIONES!$G$3:$H$65,2,FALSE()))</f>
        <v/>
      </c>
      <c r="J736" s="35" t="str">
        <f>IF(ISBLANK(A736),"",VLOOKUP(C736,RELACIONES!$A$3:$B$70,2,FALSE))</f>
        <v/>
      </c>
      <c r="K736" s="35" t="str">
        <f>IF(ISBLANK(A736),"",VLOOKUP(J736,RELACIONES!$B$3:$E$83,4,FALSE)*E736)</f>
        <v/>
      </c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34" t="str">
        <f>IF(ISBLANK(A737),"",VLOOKUP(A737,RELACIONES!$G$3:$H$65,2,FALSE()))</f>
        <v/>
      </c>
      <c r="J737" s="35" t="str">
        <f>IF(ISBLANK(A737),"",VLOOKUP(C737,RELACIONES!$A$3:$B$70,2,FALSE))</f>
        <v/>
      </c>
      <c r="K737" s="35" t="str">
        <f>IF(ISBLANK(A737),"",VLOOKUP(J737,RELACIONES!$B$3:$E$83,4,FALSE)*E737)</f>
        <v/>
      </c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34" t="str">
        <f>IF(ISBLANK(A738),"",VLOOKUP(A738,RELACIONES!$G$3:$H$65,2,FALSE()))</f>
        <v/>
      </c>
      <c r="J738" s="35" t="str">
        <f>IF(ISBLANK(A738),"",VLOOKUP(C738,RELACIONES!$A$3:$B$70,2,FALSE))</f>
        <v/>
      </c>
      <c r="K738" s="35" t="str">
        <f>IF(ISBLANK(A738),"",VLOOKUP(J738,RELACIONES!$B$3:$E$83,4,FALSE)*E738)</f>
        <v/>
      </c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34" t="str">
        <f>IF(ISBLANK(A739),"",VLOOKUP(A739,RELACIONES!$G$3:$H$65,2,FALSE()))</f>
        <v/>
      </c>
      <c r="J739" s="35" t="str">
        <f>IF(ISBLANK(A739),"",VLOOKUP(C739,RELACIONES!$A$3:$B$70,2,FALSE))</f>
        <v/>
      </c>
      <c r="K739" s="35" t="str">
        <f>IF(ISBLANK(A739),"",VLOOKUP(J739,RELACIONES!$B$3:$E$83,4,FALSE)*E739)</f>
        <v/>
      </c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34" t="str">
        <f>IF(ISBLANK(A740),"",VLOOKUP(A740,RELACIONES!$G$3:$H$65,2,FALSE()))</f>
        <v/>
      </c>
      <c r="J740" s="35" t="str">
        <f>IF(ISBLANK(A740),"",VLOOKUP(C740,RELACIONES!$A$3:$B$70,2,FALSE))</f>
        <v/>
      </c>
      <c r="K740" s="35" t="str">
        <f>IF(ISBLANK(A740),"",VLOOKUP(J740,RELACIONES!$B$3:$E$83,4,FALSE)*E740)</f>
        <v/>
      </c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34" t="str">
        <f>IF(ISBLANK(A741),"",VLOOKUP(A741,RELACIONES!$G$3:$H$65,2,FALSE()))</f>
        <v/>
      </c>
      <c r="J741" s="35" t="str">
        <f>IF(ISBLANK(A741),"",VLOOKUP(C741,RELACIONES!$A$3:$B$70,2,FALSE))</f>
        <v/>
      </c>
      <c r="K741" s="35" t="str">
        <f>IF(ISBLANK(A741),"",VLOOKUP(J741,RELACIONES!$B$3:$E$83,4,FALSE)*E741)</f>
        <v/>
      </c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34" t="str">
        <f>IF(ISBLANK(A742),"",VLOOKUP(A742,RELACIONES!$G$3:$H$65,2,FALSE()))</f>
        <v/>
      </c>
      <c r="J742" s="35" t="str">
        <f>IF(ISBLANK(A742),"",VLOOKUP(C742,RELACIONES!$A$3:$B$70,2,FALSE))</f>
        <v/>
      </c>
      <c r="K742" s="35" t="str">
        <f>IF(ISBLANK(A742),"",VLOOKUP(J742,RELACIONES!$B$3:$E$83,4,FALSE)*E742)</f>
        <v/>
      </c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34" t="str">
        <f>IF(ISBLANK(A743),"",VLOOKUP(A743,RELACIONES!$G$3:$H$65,2,FALSE()))</f>
        <v/>
      </c>
      <c r="J743" s="35" t="str">
        <f>IF(ISBLANK(A743),"",VLOOKUP(C743,RELACIONES!$A$3:$B$70,2,FALSE))</f>
        <v/>
      </c>
      <c r="K743" s="35" t="str">
        <f>IF(ISBLANK(A743),"",VLOOKUP(J743,RELACIONES!$B$3:$E$83,4,FALSE)*E743)</f>
        <v/>
      </c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34" t="str">
        <f>IF(ISBLANK(A744),"",VLOOKUP(A744,RELACIONES!$G$3:$H$65,2,FALSE()))</f>
        <v/>
      </c>
      <c r="J744" s="35" t="str">
        <f>IF(ISBLANK(A744),"",VLOOKUP(C744,RELACIONES!$A$3:$B$70,2,FALSE))</f>
        <v/>
      </c>
      <c r="K744" s="35" t="str">
        <f>IF(ISBLANK(A744),"",VLOOKUP(J744,RELACIONES!$B$3:$E$83,4,FALSE)*E744)</f>
        <v/>
      </c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34" t="str">
        <f>IF(ISBLANK(A745),"",VLOOKUP(A745,RELACIONES!$G$3:$H$65,2,FALSE()))</f>
        <v/>
      </c>
      <c r="J745" s="35" t="str">
        <f>IF(ISBLANK(A745),"",VLOOKUP(C745,RELACIONES!$A$3:$B$70,2,FALSE))</f>
        <v/>
      </c>
      <c r="K745" s="35" t="str">
        <f>IF(ISBLANK(A745),"",VLOOKUP(J745,RELACIONES!$B$3:$E$83,4,FALSE)*E745)</f>
        <v/>
      </c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34" t="str">
        <f>IF(ISBLANK(A746),"",VLOOKUP(A746,RELACIONES!$G$3:$H$65,2,FALSE()))</f>
        <v/>
      </c>
      <c r="J746" s="35" t="str">
        <f>IF(ISBLANK(A746),"",VLOOKUP(C746,RELACIONES!$A$3:$B$70,2,FALSE))</f>
        <v/>
      </c>
      <c r="K746" s="35" t="str">
        <f>IF(ISBLANK(A746),"",VLOOKUP(J746,RELACIONES!$B$3:$E$83,4,FALSE)*E746)</f>
        <v/>
      </c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34" t="str">
        <f>IF(ISBLANK(A747),"",VLOOKUP(A747,RELACIONES!$G$3:$H$65,2,FALSE()))</f>
        <v/>
      </c>
      <c r="J747" s="35" t="str">
        <f>IF(ISBLANK(A747),"",VLOOKUP(C747,RELACIONES!$A$3:$B$70,2,FALSE))</f>
        <v/>
      </c>
      <c r="K747" s="35" t="str">
        <f>IF(ISBLANK(A747),"",VLOOKUP(J747,RELACIONES!$B$3:$E$83,4,FALSE)*E747)</f>
        <v/>
      </c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34" t="str">
        <f>IF(ISBLANK(A748),"",VLOOKUP(A748,RELACIONES!$G$3:$H$65,2,FALSE()))</f>
        <v/>
      </c>
      <c r="J748" s="35" t="str">
        <f>IF(ISBLANK(A748),"",VLOOKUP(C748,RELACIONES!$A$3:$B$70,2,FALSE))</f>
        <v/>
      </c>
      <c r="K748" s="35" t="str">
        <f>IF(ISBLANK(A748),"",VLOOKUP(J748,RELACIONES!$B$3:$E$83,4,FALSE)*E748)</f>
        <v/>
      </c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34" t="str">
        <f>IF(ISBLANK(A749),"",VLOOKUP(A749,RELACIONES!$G$3:$H$65,2,FALSE()))</f>
        <v/>
      </c>
      <c r="J749" s="35" t="str">
        <f>IF(ISBLANK(A749),"",VLOOKUP(C749,RELACIONES!$A$3:$B$70,2,FALSE))</f>
        <v/>
      </c>
      <c r="K749" s="35" t="str">
        <f>IF(ISBLANK(A749),"",VLOOKUP(J749,RELACIONES!$B$3:$E$83,4,FALSE)*E749)</f>
        <v/>
      </c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34" t="str">
        <f>IF(ISBLANK(A750),"",VLOOKUP(A750,RELACIONES!$G$3:$H$65,2,FALSE()))</f>
        <v/>
      </c>
      <c r="J750" s="35" t="str">
        <f>IF(ISBLANK(A750),"",VLOOKUP(C750,RELACIONES!$A$3:$B$70,2,FALSE))</f>
        <v/>
      </c>
      <c r="K750" s="35" t="str">
        <f>IF(ISBLANK(A750),"",VLOOKUP(J750,RELACIONES!$B$3:$E$83,4,FALSE)*E750)</f>
        <v/>
      </c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34" t="str">
        <f>IF(ISBLANK(A751),"",VLOOKUP(A751,RELACIONES!$G$3:$H$65,2,FALSE()))</f>
        <v/>
      </c>
      <c r="J751" s="35" t="str">
        <f>IF(ISBLANK(A751),"",VLOOKUP(C751,RELACIONES!$A$3:$B$70,2,FALSE))</f>
        <v/>
      </c>
      <c r="K751" s="35" t="str">
        <f>IF(ISBLANK(A751),"",VLOOKUP(J751,RELACIONES!$B$3:$E$83,4,FALSE)*E751)</f>
        <v/>
      </c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34" t="str">
        <f>IF(ISBLANK(A752),"",VLOOKUP(A752,RELACIONES!$G$3:$H$65,2,FALSE()))</f>
        <v/>
      </c>
      <c r="J752" s="35" t="str">
        <f>IF(ISBLANK(A752),"",VLOOKUP(C752,RELACIONES!$A$3:$B$70,2,FALSE))</f>
        <v/>
      </c>
      <c r="K752" s="35" t="str">
        <f>IF(ISBLANK(A752),"",VLOOKUP(J752,RELACIONES!$B$3:$E$83,4,FALSE)*E752)</f>
        <v/>
      </c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34" t="str">
        <f>IF(ISBLANK(A753),"",VLOOKUP(A753,RELACIONES!$G$3:$H$65,2,FALSE()))</f>
        <v/>
      </c>
      <c r="J753" s="35" t="str">
        <f>IF(ISBLANK(A753),"",VLOOKUP(C753,RELACIONES!$A$3:$B$70,2,FALSE))</f>
        <v/>
      </c>
      <c r="K753" s="35" t="str">
        <f>IF(ISBLANK(A753),"",VLOOKUP(J753,RELACIONES!$B$3:$E$83,4,FALSE)*E753)</f>
        <v/>
      </c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34" t="str">
        <f>IF(ISBLANK(A754),"",VLOOKUP(A754,RELACIONES!$G$3:$H$65,2,FALSE()))</f>
        <v/>
      </c>
      <c r="J754" s="35" t="str">
        <f>IF(ISBLANK(A754),"",VLOOKUP(C754,RELACIONES!$A$3:$B$70,2,FALSE))</f>
        <v/>
      </c>
      <c r="K754" s="35" t="str">
        <f>IF(ISBLANK(A754),"",VLOOKUP(J754,RELACIONES!$B$3:$E$83,4,FALSE)*E754)</f>
        <v/>
      </c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34" t="str">
        <f>IF(ISBLANK(A755),"",VLOOKUP(A755,RELACIONES!$G$3:$H$65,2,FALSE()))</f>
        <v/>
      </c>
      <c r="J755" s="35" t="str">
        <f>IF(ISBLANK(A755),"",VLOOKUP(C755,RELACIONES!$A$3:$B$70,2,FALSE))</f>
        <v/>
      </c>
      <c r="K755" s="35" t="str">
        <f>IF(ISBLANK(A755),"",VLOOKUP(J755,RELACIONES!$B$3:$E$83,4,FALSE)*E755)</f>
        <v/>
      </c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34" t="str">
        <f>IF(ISBLANK(A756),"",VLOOKUP(A756,RELACIONES!$G$3:$H$65,2,FALSE()))</f>
        <v/>
      </c>
      <c r="J756" s="35" t="str">
        <f>IF(ISBLANK(A756),"",VLOOKUP(C756,RELACIONES!$A$3:$B$70,2,FALSE))</f>
        <v/>
      </c>
      <c r="K756" s="35" t="str">
        <f>IF(ISBLANK(A756),"",VLOOKUP(J756,RELACIONES!$B$3:$E$83,4,FALSE)*E756)</f>
        <v/>
      </c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34" t="str">
        <f>IF(ISBLANK(A757),"",VLOOKUP(A757,RELACIONES!$G$3:$H$65,2,FALSE()))</f>
        <v/>
      </c>
      <c r="J757" s="35" t="str">
        <f>IF(ISBLANK(A757),"",VLOOKUP(C757,RELACIONES!$A$3:$B$70,2,FALSE))</f>
        <v/>
      </c>
      <c r="K757" s="35" t="str">
        <f>IF(ISBLANK(A757),"",VLOOKUP(J757,RELACIONES!$B$3:$E$83,4,FALSE)*E757)</f>
        <v/>
      </c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34" t="str">
        <f>IF(ISBLANK(A758),"",VLOOKUP(A758,RELACIONES!$G$3:$H$65,2,FALSE()))</f>
        <v/>
      </c>
      <c r="J758" s="35" t="str">
        <f>IF(ISBLANK(A758),"",VLOOKUP(C758,RELACIONES!$A$3:$B$70,2,FALSE))</f>
        <v/>
      </c>
      <c r="K758" s="35" t="str">
        <f>IF(ISBLANK(A758),"",VLOOKUP(J758,RELACIONES!$B$3:$E$83,4,FALSE)*E758)</f>
        <v/>
      </c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34" t="str">
        <f>IF(ISBLANK(A759),"",VLOOKUP(A759,RELACIONES!$G$3:$H$65,2,FALSE()))</f>
        <v/>
      </c>
      <c r="J759" s="35" t="str">
        <f>IF(ISBLANK(A759),"",VLOOKUP(C759,RELACIONES!$A$3:$B$70,2,FALSE))</f>
        <v/>
      </c>
      <c r="K759" s="35" t="str">
        <f>IF(ISBLANK(A759),"",VLOOKUP(J759,RELACIONES!$B$3:$E$83,4,FALSE)*E759)</f>
        <v/>
      </c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34" t="str">
        <f>IF(ISBLANK(A760),"",VLOOKUP(A760,RELACIONES!$G$3:$H$65,2,FALSE()))</f>
        <v/>
      </c>
      <c r="J760" s="35" t="str">
        <f>IF(ISBLANK(A760),"",VLOOKUP(C760,RELACIONES!$A$3:$B$70,2,FALSE))</f>
        <v/>
      </c>
      <c r="K760" s="35" t="str">
        <f>IF(ISBLANK(A760),"",VLOOKUP(J760,RELACIONES!$B$3:$E$83,4,FALSE)*E760)</f>
        <v/>
      </c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34" t="str">
        <f>IF(ISBLANK(A761),"",VLOOKUP(A761,RELACIONES!$G$3:$H$65,2,FALSE()))</f>
        <v/>
      </c>
      <c r="J761" s="35" t="str">
        <f>IF(ISBLANK(A761),"",VLOOKUP(C761,RELACIONES!$A$3:$B$70,2,FALSE))</f>
        <v/>
      </c>
      <c r="K761" s="35" t="str">
        <f>IF(ISBLANK(A761),"",VLOOKUP(J761,RELACIONES!$B$3:$E$83,4,FALSE)*E761)</f>
        <v/>
      </c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34" t="str">
        <f>IF(ISBLANK(A762),"",VLOOKUP(A762,RELACIONES!$G$3:$H$65,2,FALSE()))</f>
        <v/>
      </c>
      <c r="J762" s="35" t="str">
        <f>IF(ISBLANK(A762),"",VLOOKUP(C762,RELACIONES!$A$3:$B$70,2,FALSE))</f>
        <v/>
      </c>
      <c r="K762" s="35" t="str">
        <f>IF(ISBLANK(A762),"",VLOOKUP(J762,RELACIONES!$B$3:$E$83,4,FALSE)*E762)</f>
        <v/>
      </c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34" t="str">
        <f>IF(ISBLANK(A763),"",VLOOKUP(A763,RELACIONES!$G$3:$H$65,2,FALSE()))</f>
        <v/>
      </c>
      <c r="J763" s="35" t="str">
        <f>IF(ISBLANK(A763),"",VLOOKUP(C763,RELACIONES!$A$3:$B$70,2,FALSE))</f>
        <v/>
      </c>
      <c r="K763" s="35" t="str">
        <f>IF(ISBLANK(A763),"",VLOOKUP(J763,RELACIONES!$B$3:$E$83,4,FALSE)*E763)</f>
        <v/>
      </c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34" t="str">
        <f>IF(ISBLANK(A764),"",VLOOKUP(A764,RELACIONES!$G$3:$H$65,2,FALSE()))</f>
        <v/>
      </c>
      <c r="J764" s="35" t="str">
        <f>IF(ISBLANK(A764),"",VLOOKUP(C764,RELACIONES!$A$3:$B$70,2,FALSE))</f>
        <v/>
      </c>
      <c r="K764" s="35" t="str">
        <f>IF(ISBLANK(A764),"",VLOOKUP(J764,RELACIONES!$B$3:$E$83,4,FALSE)*E764)</f>
        <v/>
      </c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34" t="str">
        <f>IF(ISBLANK(A765),"",VLOOKUP(A765,RELACIONES!$G$3:$H$65,2,FALSE()))</f>
        <v/>
      </c>
      <c r="J765" s="35" t="str">
        <f>IF(ISBLANK(A765),"",VLOOKUP(C765,RELACIONES!$A$3:$B$70,2,FALSE))</f>
        <v/>
      </c>
      <c r="K765" s="35" t="str">
        <f>IF(ISBLANK(A765),"",VLOOKUP(J765,RELACIONES!$B$3:$E$83,4,FALSE)*E765)</f>
        <v/>
      </c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34" t="str">
        <f>IF(ISBLANK(A766),"",VLOOKUP(A766,RELACIONES!$G$3:$H$65,2,FALSE()))</f>
        <v/>
      </c>
      <c r="J766" s="35" t="str">
        <f>IF(ISBLANK(A766),"",VLOOKUP(C766,RELACIONES!$A$3:$B$70,2,FALSE))</f>
        <v/>
      </c>
      <c r="K766" s="35" t="str">
        <f>IF(ISBLANK(A766),"",VLOOKUP(J766,RELACIONES!$B$3:$E$83,4,FALSE)*E766)</f>
        <v/>
      </c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34" t="str">
        <f>IF(ISBLANK(A767),"",VLOOKUP(A767,RELACIONES!$G$3:$H$65,2,FALSE()))</f>
        <v/>
      </c>
      <c r="J767" s="35" t="str">
        <f>IF(ISBLANK(A767),"",VLOOKUP(C767,RELACIONES!$A$3:$B$70,2,FALSE))</f>
        <v/>
      </c>
      <c r="K767" s="35" t="str">
        <f>IF(ISBLANK(A767),"",VLOOKUP(J767,RELACIONES!$B$3:$E$83,4,FALSE)*E767)</f>
        <v/>
      </c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34" t="str">
        <f>IF(ISBLANK(A768),"",VLOOKUP(A768,RELACIONES!$G$3:$H$65,2,FALSE()))</f>
        <v/>
      </c>
      <c r="J768" s="35" t="str">
        <f>IF(ISBLANK(A768),"",VLOOKUP(C768,RELACIONES!$A$3:$B$70,2,FALSE))</f>
        <v/>
      </c>
      <c r="K768" s="35" t="str">
        <f>IF(ISBLANK(A768),"",VLOOKUP(J768,RELACIONES!$B$3:$E$83,4,FALSE)*E768)</f>
        <v/>
      </c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34" t="str">
        <f>IF(ISBLANK(A769),"",VLOOKUP(A769,RELACIONES!$G$3:$H$65,2,FALSE()))</f>
        <v/>
      </c>
      <c r="J769" s="35" t="str">
        <f>IF(ISBLANK(A769),"",VLOOKUP(C769,RELACIONES!$A$3:$B$70,2,FALSE))</f>
        <v/>
      </c>
      <c r="K769" s="35" t="str">
        <f>IF(ISBLANK(A769),"",VLOOKUP(J769,RELACIONES!$B$3:$E$83,4,FALSE)*E769)</f>
        <v/>
      </c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34" t="str">
        <f>IF(ISBLANK(A770),"",VLOOKUP(A770,RELACIONES!$G$3:$H$65,2,FALSE()))</f>
        <v/>
      </c>
      <c r="J770" s="35" t="str">
        <f>IF(ISBLANK(A770),"",VLOOKUP(C770,RELACIONES!$A$3:$B$70,2,FALSE))</f>
        <v/>
      </c>
      <c r="K770" s="35" t="str">
        <f>IF(ISBLANK(A770),"",VLOOKUP(J770,RELACIONES!$B$3:$E$83,4,FALSE)*E770)</f>
        <v/>
      </c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34" t="str">
        <f>IF(ISBLANK(A771),"",VLOOKUP(A771,RELACIONES!$G$3:$H$65,2,FALSE()))</f>
        <v/>
      </c>
      <c r="J771" s="35" t="str">
        <f>IF(ISBLANK(A771),"",VLOOKUP(C771,RELACIONES!$A$3:$B$70,2,FALSE))</f>
        <v/>
      </c>
      <c r="K771" s="35" t="str">
        <f>IF(ISBLANK(A771),"",VLOOKUP(J771,RELACIONES!$B$3:$E$83,4,FALSE)*E771)</f>
        <v/>
      </c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34" t="str">
        <f>IF(ISBLANK(A772),"",VLOOKUP(A772,RELACIONES!$G$3:$H$65,2,FALSE()))</f>
        <v/>
      </c>
      <c r="J772" s="35" t="str">
        <f>IF(ISBLANK(A772),"",VLOOKUP(C772,RELACIONES!$A$3:$B$70,2,FALSE))</f>
        <v/>
      </c>
      <c r="K772" s="35" t="str">
        <f>IF(ISBLANK(A772),"",VLOOKUP(J772,RELACIONES!$B$3:$E$83,4,FALSE)*E772)</f>
        <v/>
      </c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34" t="str">
        <f>IF(ISBLANK(A773),"",VLOOKUP(A773,RELACIONES!$G$3:$H$65,2,FALSE()))</f>
        <v/>
      </c>
      <c r="J773" s="35" t="str">
        <f>IF(ISBLANK(A773),"",VLOOKUP(C773,RELACIONES!$A$3:$B$70,2,FALSE))</f>
        <v/>
      </c>
      <c r="K773" s="35" t="str">
        <f>IF(ISBLANK(A773),"",VLOOKUP(J773,RELACIONES!$B$3:$E$83,4,FALSE)*E773)</f>
        <v/>
      </c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34" t="str">
        <f>IF(ISBLANK(A774),"",VLOOKUP(A774,RELACIONES!$G$3:$H$65,2,FALSE()))</f>
        <v/>
      </c>
      <c r="J774" s="35" t="str">
        <f>IF(ISBLANK(A774),"",VLOOKUP(C774,RELACIONES!$A$3:$B$70,2,FALSE))</f>
        <v/>
      </c>
      <c r="K774" s="35" t="str">
        <f>IF(ISBLANK(A774),"",VLOOKUP(J774,RELACIONES!$B$3:$E$83,4,FALSE)*E774)</f>
        <v/>
      </c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34" t="str">
        <f>IF(ISBLANK(A775),"",VLOOKUP(A775,RELACIONES!$G$3:$H$65,2,FALSE()))</f>
        <v/>
      </c>
      <c r="J775" s="35" t="str">
        <f>IF(ISBLANK(A775),"",VLOOKUP(C775,RELACIONES!$A$3:$B$70,2,FALSE))</f>
        <v/>
      </c>
      <c r="K775" s="35" t="str">
        <f>IF(ISBLANK(A775),"",VLOOKUP(J775,RELACIONES!$B$3:$E$83,4,FALSE)*E775)</f>
        <v/>
      </c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34" t="str">
        <f>IF(ISBLANK(A776),"",VLOOKUP(A776,RELACIONES!$G$3:$H$65,2,FALSE()))</f>
        <v/>
      </c>
      <c r="J776" s="35" t="str">
        <f>IF(ISBLANK(A776),"",VLOOKUP(C776,RELACIONES!$A$3:$B$70,2,FALSE))</f>
        <v/>
      </c>
      <c r="K776" s="35" t="str">
        <f>IF(ISBLANK(A776),"",VLOOKUP(J776,RELACIONES!$B$3:$E$83,4,FALSE)*E776)</f>
        <v/>
      </c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34" t="str">
        <f>IF(ISBLANK(A777),"",VLOOKUP(A777,RELACIONES!$G$3:$H$65,2,FALSE()))</f>
        <v/>
      </c>
      <c r="J777" s="35" t="str">
        <f>IF(ISBLANK(A777),"",VLOOKUP(C777,RELACIONES!$A$3:$B$70,2,FALSE))</f>
        <v/>
      </c>
      <c r="K777" s="35" t="str">
        <f>IF(ISBLANK(A777),"",VLOOKUP(J777,RELACIONES!$B$3:$E$83,4,FALSE)*E777)</f>
        <v/>
      </c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34" t="str">
        <f>IF(ISBLANK(A778),"",VLOOKUP(A778,RELACIONES!$G$3:$H$65,2,FALSE()))</f>
        <v/>
      </c>
      <c r="J778" s="35" t="str">
        <f>IF(ISBLANK(A778),"",VLOOKUP(C778,RELACIONES!$A$3:$B$70,2,FALSE))</f>
        <v/>
      </c>
      <c r="K778" s="35" t="str">
        <f>IF(ISBLANK(A778),"",VLOOKUP(J778,RELACIONES!$B$3:$E$83,4,FALSE)*E778)</f>
        <v/>
      </c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34" t="str">
        <f>IF(ISBLANK(A779),"",VLOOKUP(A779,RELACIONES!$G$3:$H$65,2,FALSE()))</f>
        <v/>
      </c>
      <c r="J779" s="35" t="str">
        <f>IF(ISBLANK(A779),"",VLOOKUP(C779,RELACIONES!$A$3:$B$70,2,FALSE))</f>
        <v/>
      </c>
      <c r="K779" s="35" t="str">
        <f>IF(ISBLANK(A779),"",VLOOKUP(J779,RELACIONES!$B$3:$E$83,4,FALSE)*E779)</f>
        <v/>
      </c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34" t="str">
        <f>IF(ISBLANK(A780),"",VLOOKUP(A780,RELACIONES!$G$3:$H$65,2,FALSE()))</f>
        <v/>
      </c>
      <c r="J780" s="35" t="str">
        <f>IF(ISBLANK(A780),"",VLOOKUP(C780,RELACIONES!$A$3:$B$70,2,FALSE))</f>
        <v/>
      </c>
      <c r="K780" s="35" t="str">
        <f>IF(ISBLANK(A780),"",VLOOKUP(J780,RELACIONES!$B$3:$E$83,4,FALSE)*E780)</f>
        <v/>
      </c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34" t="str">
        <f>IF(ISBLANK(A781),"",VLOOKUP(A781,RELACIONES!$G$3:$H$65,2,FALSE()))</f>
        <v/>
      </c>
      <c r="J781" s="35" t="str">
        <f>IF(ISBLANK(A781),"",VLOOKUP(C781,RELACIONES!$A$3:$B$70,2,FALSE))</f>
        <v/>
      </c>
      <c r="K781" s="35" t="str">
        <f>IF(ISBLANK(A781),"",VLOOKUP(J781,RELACIONES!$B$3:$E$83,4,FALSE)*E781)</f>
        <v/>
      </c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34" t="str">
        <f>IF(ISBLANK(A782),"",VLOOKUP(A782,RELACIONES!$G$3:$H$65,2,FALSE()))</f>
        <v/>
      </c>
      <c r="J782" s="35" t="str">
        <f>IF(ISBLANK(A782),"",VLOOKUP(C782,RELACIONES!$A$3:$B$70,2,FALSE))</f>
        <v/>
      </c>
      <c r="K782" s="35" t="str">
        <f>IF(ISBLANK(A782),"",VLOOKUP(J782,RELACIONES!$B$3:$E$83,4,FALSE)*E782)</f>
        <v/>
      </c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34" t="str">
        <f>IF(ISBLANK(A783),"",VLOOKUP(A783,RELACIONES!$G$3:$H$65,2,FALSE()))</f>
        <v/>
      </c>
      <c r="J783" s="35" t="str">
        <f>IF(ISBLANK(A783),"",VLOOKUP(C783,RELACIONES!$A$3:$B$70,2,FALSE))</f>
        <v/>
      </c>
      <c r="K783" s="35" t="str">
        <f>IF(ISBLANK(A783),"",VLOOKUP(J783,RELACIONES!$B$3:$E$83,4,FALSE)*E783)</f>
        <v/>
      </c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34" t="str">
        <f>IF(ISBLANK(A784),"",VLOOKUP(A784,RELACIONES!$G$3:$H$65,2,FALSE()))</f>
        <v/>
      </c>
      <c r="J784" s="35" t="str">
        <f>IF(ISBLANK(A784),"",VLOOKUP(C784,RELACIONES!$A$3:$B$70,2,FALSE))</f>
        <v/>
      </c>
      <c r="K784" s="35" t="str">
        <f>IF(ISBLANK(A784),"",VLOOKUP(J784,RELACIONES!$B$3:$E$83,4,FALSE)*E784)</f>
        <v/>
      </c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34" t="str">
        <f>IF(ISBLANK(A785),"",VLOOKUP(A785,RELACIONES!$G$3:$H$65,2,FALSE()))</f>
        <v/>
      </c>
      <c r="J785" s="35" t="str">
        <f>IF(ISBLANK(A785),"",VLOOKUP(C785,RELACIONES!$A$3:$B$70,2,FALSE))</f>
        <v/>
      </c>
      <c r="K785" s="35" t="str">
        <f>IF(ISBLANK(A785),"",VLOOKUP(J785,RELACIONES!$B$3:$E$83,4,FALSE)*E785)</f>
        <v/>
      </c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34" t="str">
        <f>IF(ISBLANK(A786),"",VLOOKUP(A786,RELACIONES!$G$3:$H$65,2,FALSE()))</f>
        <v/>
      </c>
      <c r="J786" s="35" t="str">
        <f>IF(ISBLANK(A786),"",VLOOKUP(C786,RELACIONES!$A$3:$B$70,2,FALSE))</f>
        <v/>
      </c>
      <c r="K786" s="35" t="str">
        <f>IF(ISBLANK(A786),"",VLOOKUP(J786,RELACIONES!$B$3:$E$83,4,FALSE)*E786)</f>
        <v/>
      </c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34" t="str">
        <f>IF(ISBLANK(A787),"",VLOOKUP(A787,RELACIONES!$G$3:$H$65,2,FALSE()))</f>
        <v/>
      </c>
      <c r="J787" s="35" t="str">
        <f>IF(ISBLANK(A787),"",VLOOKUP(C787,RELACIONES!$A$3:$B$70,2,FALSE))</f>
        <v/>
      </c>
      <c r="K787" s="35" t="str">
        <f>IF(ISBLANK(A787),"",VLOOKUP(J787,RELACIONES!$B$3:$E$83,4,FALSE)*E787)</f>
        <v/>
      </c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34" t="str">
        <f>IF(ISBLANK(A788),"",VLOOKUP(A788,RELACIONES!$G$3:$H$65,2,FALSE()))</f>
        <v/>
      </c>
      <c r="J788" s="35" t="str">
        <f>IF(ISBLANK(A788),"",VLOOKUP(C788,RELACIONES!$A$3:$B$70,2,FALSE))</f>
        <v/>
      </c>
      <c r="K788" s="35" t="str">
        <f>IF(ISBLANK(A788),"",VLOOKUP(J788,RELACIONES!$B$3:$E$83,4,FALSE)*E788)</f>
        <v/>
      </c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34" t="str">
        <f>IF(ISBLANK(A789),"",VLOOKUP(A789,RELACIONES!$G$3:$H$65,2,FALSE()))</f>
        <v/>
      </c>
      <c r="J789" s="35" t="str">
        <f>IF(ISBLANK(A789),"",VLOOKUP(C789,RELACIONES!$A$3:$B$70,2,FALSE))</f>
        <v/>
      </c>
      <c r="K789" s="35" t="str">
        <f>IF(ISBLANK(A789),"",VLOOKUP(J789,RELACIONES!$B$3:$E$83,4,FALSE)*E789)</f>
        <v/>
      </c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34" t="str">
        <f>IF(ISBLANK(A790),"",VLOOKUP(A790,RELACIONES!$G$3:$H$65,2,FALSE()))</f>
        <v/>
      </c>
      <c r="J790" s="35" t="str">
        <f>IF(ISBLANK(A790),"",VLOOKUP(C790,RELACIONES!$A$3:$B$70,2,FALSE))</f>
        <v/>
      </c>
      <c r="K790" s="35" t="str">
        <f>IF(ISBLANK(A790),"",VLOOKUP(J790,RELACIONES!$B$3:$E$83,4,FALSE)*E790)</f>
        <v/>
      </c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34" t="str">
        <f>IF(ISBLANK(A791),"",VLOOKUP(A791,RELACIONES!$G$3:$H$65,2,FALSE()))</f>
        <v/>
      </c>
      <c r="J791" s="35" t="str">
        <f>IF(ISBLANK(A791),"",VLOOKUP(C791,RELACIONES!$A$3:$B$70,2,FALSE))</f>
        <v/>
      </c>
      <c r="K791" s="35" t="str">
        <f>IF(ISBLANK(A791),"",VLOOKUP(J791,RELACIONES!$B$3:$E$83,4,FALSE)*E791)</f>
        <v/>
      </c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34" t="str">
        <f>IF(ISBLANK(A792),"",VLOOKUP(A792,RELACIONES!$G$3:$H$65,2,FALSE()))</f>
        <v/>
      </c>
      <c r="J792" s="35" t="str">
        <f>IF(ISBLANK(A792),"",VLOOKUP(C792,RELACIONES!$A$3:$B$70,2,FALSE))</f>
        <v/>
      </c>
      <c r="K792" s="35" t="str">
        <f>IF(ISBLANK(A792),"",VLOOKUP(J792,RELACIONES!$B$3:$E$83,4,FALSE)*E792)</f>
        <v/>
      </c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34" t="str">
        <f>IF(ISBLANK(A793),"",VLOOKUP(A793,RELACIONES!$G$3:$H$65,2,FALSE()))</f>
        <v/>
      </c>
      <c r="J793" s="35" t="str">
        <f>IF(ISBLANK(A793),"",VLOOKUP(C793,RELACIONES!$A$3:$B$70,2,FALSE))</f>
        <v/>
      </c>
      <c r="K793" s="35" t="str">
        <f>IF(ISBLANK(A793),"",VLOOKUP(J793,RELACIONES!$B$3:$E$83,4,FALSE)*E793)</f>
        <v/>
      </c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34" t="str">
        <f>IF(ISBLANK(A794),"",VLOOKUP(A794,RELACIONES!$G$3:$H$65,2,FALSE()))</f>
        <v/>
      </c>
      <c r="J794" s="35" t="str">
        <f>IF(ISBLANK(A794),"",VLOOKUP(C794,RELACIONES!$A$3:$B$70,2,FALSE))</f>
        <v/>
      </c>
      <c r="K794" s="35" t="str">
        <f>IF(ISBLANK(A794),"",VLOOKUP(J794,RELACIONES!$B$3:$E$83,4,FALSE)*E794)</f>
        <v/>
      </c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34" t="str">
        <f>IF(ISBLANK(A795),"",VLOOKUP(A795,RELACIONES!$G$3:$H$65,2,FALSE()))</f>
        <v/>
      </c>
      <c r="J795" s="35" t="str">
        <f>IF(ISBLANK(A795),"",VLOOKUP(C795,RELACIONES!$A$3:$B$70,2,FALSE))</f>
        <v/>
      </c>
      <c r="K795" s="35" t="str">
        <f>IF(ISBLANK(A795),"",VLOOKUP(J795,RELACIONES!$B$3:$E$83,4,FALSE)*E795)</f>
        <v/>
      </c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34" t="str">
        <f>IF(ISBLANK(A796),"",VLOOKUP(A796,RELACIONES!$G$3:$H$65,2,FALSE()))</f>
        <v/>
      </c>
      <c r="J796" s="35" t="str">
        <f>IF(ISBLANK(A796),"",VLOOKUP(C796,RELACIONES!$A$3:$B$70,2,FALSE))</f>
        <v/>
      </c>
      <c r="K796" s="35" t="str">
        <f>IF(ISBLANK(A796),"",VLOOKUP(J796,RELACIONES!$B$3:$E$83,4,FALSE)*E796)</f>
        <v/>
      </c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34" t="str">
        <f>IF(ISBLANK(A797),"",VLOOKUP(A797,RELACIONES!$G$3:$H$65,2,FALSE()))</f>
        <v/>
      </c>
      <c r="J797" s="35" t="str">
        <f>IF(ISBLANK(A797),"",VLOOKUP(C797,RELACIONES!$A$3:$B$70,2,FALSE))</f>
        <v/>
      </c>
      <c r="K797" s="35" t="str">
        <f>IF(ISBLANK(A797),"",VLOOKUP(J797,RELACIONES!$B$3:$E$83,4,FALSE)*E797)</f>
        <v/>
      </c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34" t="str">
        <f>IF(ISBLANK(A798),"",VLOOKUP(A798,RELACIONES!$G$3:$H$65,2,FALSE()))</f>
        <v/>
      </c>
      <c r="J798" s="35" t="str">
        <f>IF(ISBLANK(A798),"",VLOOKUP(C798,RELACIONES!$A$3:$B$70,2,FALSE))</f>
        <v/>
      </c>
      <c r="K798" s="35" t="str">
        <f>IF(ISBLANK(A798),"",VLOOKUP(J798,RELACIONES!$B$3:$E$83,4,FALSE)*E798)</f>
        <v/>
      </c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34" t="str">
        <f>IF(ISBLANK(A799),"",VLOOKUP(A799,RELACIONES!$G$3:$H$65,2,FALSE()))</f>
        <v/>
      </c>
      <c r="J799" s="35" t="str">
        <f>IF(ISBLANK(A799),"",VLOOKUP(C799,RELACIONES!$A$3:$B$70,2,FALSE))</f>
        <v/>
      </c>
      <c r="K799" s="35" t="str">
        <f>IF(ISBLANK(A799),"",VLOOKUP(J799,RELACIONES!$B$3:$E$83,4,FALSE)*E799)</f>
        <v/>
      </c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34" t="str">
        <f>IF(ISBLANK(A800),"",VLOOKUP(A800,RELACIONES!$G$3:$H$65,2,FALSE()))</f>
        <v/>
      </c>
      <c r="J800" s="35" t="str">
        <f>IF(ISBLANK(A800),"",VLOOKUP(C800,RELACIONES!$A$3:$B$70,2,FALSE))</f>
        <v/>
      </c>
      <c r="K800" s="35" t="str">
        <f>IF(ISBLANK(A800),"",VLOOKUP(J800,RELACIONES!$B$3:$E$83,4,FALSE)*E800)</f>
        <v/>
      </c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34" t="str">
        <f>IF(ISBLANK(A801),"",VLOOKUP(A801,RELACIONES!$G$3:$H$65,2,FALSE()))</f>
        <v/>
      </c>
      <c r="J801" s="35" t="str">
        <f>IF(ISBLANK(A801),"",VLOOKUP(C801,RELACIONES!$A$3:$B$70,2,FALSE))</f>
        <v/>
      </c>
      <c r="K801" s="35" t="str">
        <f>IF(ISBLANK(A801),"",VLOOKUP(J801,RELACIONES!$B$3:$E$83,4,FALSE)*E801)</f>
        <v/>
      </c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34" t="str">
        <f>IF(ISBLANK(A802),"",VLOOKUP(A802,RELACIONES!$G$3:$H$65,2,FALSE()))</f>
        <v/>
      </c>
      <c r="J802" s="35" t="str">
        <f>IF(ISBLANK(A802),"",VLOOKUP(C802,RELACIONES!$A$3:$B$70,2,FALSE))</f>
        <v/>
      </c>
      <c r="K802" s="35" t="str">
        <f>IF(ISBLANK(A802),"",VLOOKUP(J802,RELACIONES!$B$3:$E$83,4,FALSE)*E802)</f>
        <v/>
      </c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34" t="str">
        <f>IF(ISBLANK(A803),"",VLOOKUP(A803,RELACIONES!$G$3:$H$65,2,FALSE()))</f>
        <v/>
      </c>
      <c r="J803" s="35" t="str">
        <f>IF(ISBLANK(A803),"",VLOOKUP(C803,RELACIONES!$A$3:$B$70,2,FALSE))</f>
        <v/>
      </c>
      <c r="K803" s="35" t="str">
        <f>IF(ISBLANK(A803),"",VLOOKUP(J803,RELACIONES!$B$3:$E$83,4,FALSE)*E803)</f>
        <v/>
      </c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34" t="str">
        <f>IF(ISBLANK(A804),"",VLOOKUP(A804,RELACIONES!$G$3:$H$65,2,FALSE()))</f>
        <v/>
      </c>
      <c r="J804" s="35" t="str">
        <f>IF(ISBLANK(A804),"",VLOOKUP(C804,RELACIONES!$A$3:$B$70,2,FALSE))</f>
        <v/>
      </c>
      <c r="K804" s="35" t="str">
        <f>IF(ISBLANK(A804),"",VLOOKUP(J804,RELACIONES!$B$3:$E$83,4,FALSE)*E804)</f>
        <v/>
      </c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34" t="str">
        <f>IF(ISBLANK(A805),"",VLOOKUP(A805,RELACIONES!$G$3:$H$65,2,FALSE()))</f>
        <v/>
      </c>
      <c r="J805" s="35" t="str">
        <f>IF(ISBLANK(A805),"",VLOOKUP(C805,RELACIONES!$A$3:$B$70,2,FALSE))</f>
        <v/>
      </c>
      <c r="K805" s="35" t="str">
        <f>IF(ISBLANK(A805),"",VLOOKUP(J805,RELACIONES!$B$3:$E$83,4,FALSE)*E805)</f>
        <v/>
      </c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34" t="str">
        <f>IF(ISBLANK(A806),"",VLOOKUP(A806,RELACIONES!$G$3:$H$65,2,FALSE()))</f>
        <v/>
      </c>
      <c r="J806" s="35" t="str">
        <f>IF(ISBLANK(A806),"",VLOOKUP(C806,RELACIONES!$A$3:$B$70,2,FALSE))</f>
        <v/>
      </c>
      <c r="K806" s="35" t="str">
        <f>IF(ISBLANK(A806),"",VLOOKUP(J806,RELACIONES!$B$3:$E$83,4,FALSE)*E806)</f>
        <v/>
      </c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34" t="str">
        <f>IF(ISBLANK(A807),"",VLOOKUP(A807,RELACIONES!$G$3:$H$65,2,FALSE()))</f>
        <v/>
      </c>
      <c r="J807" s="35" t="str">
        <f>IF(ISBLANK(A807),"",VLOOKUP(C807,RELACIONES!$A$3:$B$70,2,FALSE))</f>
        <v/>
      </c>
      <c r="K807" s="35" t="str">
        <f>IF(ISBLANK(A807),"",VLOOKUP(J807,RELACIONES!$B$3:$E$83,4,FALSE)*E807)</f>
        <v/>
      </c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34" t="str">
        <f>IF(ISBLANK(A808),"",VLOOKUP(A808,RELACIONES!$G$3:$H$65,2,FALSE()))</f>
        <v/>
      </c>
      <c r="J808" s="35" t="str">
        <f>IF(ISBLANK(A808),"",VLOOKUP(C808,RELACIONES!$A$3:$B$70,2,FALSE))</f>
        <v/>
      </c>
      <c r="K808" s="35" t="str">
        <f>IF(ISBLANK(A808),"",VLOOKUP(J808,RELACIONES!$B$3:$E$83,4,FALSE)*E808)</f>
        <v/>
      </c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34" t="str">
        <f>IF(ISBLANK(A809),"",VLOOKUP(A809,RELACIONES!$G$3:$H$65,2,FALSE()))</f>
        <v/>
      </c>
      <c r="J809" s="35" t="str">
        <f>IF(ISBLANK(A809),"",VLOOKUP(C809,RELACIONES!$A$3:$B$70,2,FALSE))</f>
        <v/>
      </c>
      <c r="K809" s="35" t="str">
        <f>IF(ISBLANK(A809),"",VLOOKUP(J809,RELACIONES!$B$3:$E$83,4,FALSE)*E809)</f>
        <v/>
      </c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34" t="str">
        <f>IF(ISBLANK(A810),"",VLOOKUP(A810,RELACIONES!$G$3:$H$65,2,FALSE()))</f>
        <v/>
      </c>
      <c r="J810" s="35" t="str">
        <f>IF(ISBLANK(A810),"",VLOOKUP(C810,RELACIONES!$A$3:$B$70,2,FALSE))</f>
        <v/>
      </c>
      <c r="K810" s="35" t="str">
        <f>IF(ISBLANK(A810),"",VLOOKUP(J810,RELACIONES!$B$3:$E$83,4,FALSE)*E810)</f>
        <v/>
      </c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34" t="str">
        <f>IF(ISBLANK(A811),"",VLOOKUP(A811,RELACIONES!$G$3:$H$65,2,FALSE()))</f>
        <v/>
      </c>
      <c r="J811" s="35" t="str">
        <f>IF(ISBLANK(A811),"",VLOOKUP(C811,RELACIONES!$A$3:$B$70,2,FALSE))</f>
        <v/>
      </c>
      <c r="K811" s="35" t="str">
        <f>IF(ISBLANK(A811),"",VLOOKUP(J811,RELACIONES!$B$3:$E$83,4,FALSE)*E811)</f>
        <v/>
      </c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34" t="str">
        <f>IF(ISBLANK(A812),"",VLOOKUP(A812,RELACIONES!$G$3:$H$65,2,FALSE()))</f>
        <v/>
      </c>
      <c r="J812" s="35" t="str">
        <f>IF(ISBLANK(A812),"",VLOOKUP(C812,RELACIONES!$A$3:$B$70,2,FALSE))</f>
        <v/>
      </c>
      <c r="K812" s="35" t="str">
        <f>IF(ISBLANK(A812),"",VLOOKUP(J812,RELACIONES!$B$3:$E$83,4,FALSE)*E812)</f>
        <v/>
      </c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34" t="str">
        <f>IF(ISBLANK(A813),"",VLOOKUP(A813,RELACIONES!$G$3:$H$65,2,FALSE()))</f>
        <v/>
      </c>
      <c r="J813" s="35" t="str">
        <f>IF(ISBLANK(A813),"",VLOOKUP(C813,RELACIONES!$A$3:$B$70,2,FALSE))</f>
        <v/>
      </c>
      <c r="K813" s="35" t="str">
        <f>IF(ISBLANK(A813),"",VLOOKUP(J813,RELACIONES!$B$3:$E$83,4,FALSE)*E813)</f>
        <v/>
      </c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34" t="str">
        <f>IF(ISBLANK(A814),"",VLOOKUP(A814,RELACIONES!$G$3:$H$65,2,FALSE()))</f>
        <v/>
      </c>
      <c r="J814" s="35" t="str">
        <f>IF(ISBLANK(A814),"",VLOOKUP(C814,RELACIONES!$A$3:$B$70,2,FALSE))</f>
        <v/>
      </c>
      <c r="K814" s="35" t="str">
        <f>IF(ISBLANK(A814),"",VLOOKUP(J814,RELACIONES!$B$3:$E$83,4,FALSE)*E814)</f>
        <v/>
      </c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34" t="str">
        <f>IF(ISBLANK(A815),"",VLOOKUP(A815,RELACIONES!$G$3:$H$65,2,FALSE()))</f>
        <v/>
      </c>
      <c r="J815" s="35" t="str">
        <f>IF(ISBLANK(A815),"",VLOOKUP(C815,RELACIONES!$A$3:$B$70,2,FALSE))</f>
        <v/>
      </c>
      <c r="K815" s="35" t="str">
        <f>IF(ISBLANK(A815),"",VLOOKUP(J815,RELACIONES!$B$3:$E$83,4,FALSE)*E815)</f>
        <v/>
      </c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34" t="str">
        <f>IF(ISBLANK(A816),"",VLOOKUP(A816,RELACIONES!$G$3:$H$65,2,FALSE()))</f>
        <v/>
      </c>
      <c r="J816" s="35" t="str">
        <f>IF(ISBLANK(A816),"",VLOOKUP(C816,RELACIONES!$A$3:$B$70,2,FALSE))</f>
        <v/>
      </c>
      <c r="K816" s="35" t="str">
        <f>IF(ISBLANK(A816),"",VLOOKUP(J816,RELACIONES!$B$3:$E$83,4,FALSE)*E816)</f>
        <v/>
      </c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34" t="str">
        <f>IF(ISBLANK(A817),"",VLOOKUP(A817,RELACIONES!$G$3:$H$65,2,FALSE()))</f>
        <v/>
      </c>
      <c r="J817" s="35" t="str">
        <f>IF(ISBLANK(A817),"",VLOOKUP(C817,RELACIONES!$A$3:$B$70,2,FALSE))</f>
        <v/>
      </c>
      <c r="K817" s="35" t="str">
        <f>IF(ISBLANK(A817),"",VLOOKUP(J817,RELACIONES!$B$3:$E$83,4,FALSE)*E817)</f>
        <v/>
      </c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34" t="str">
        <f>IF(ISBLANK(A818),"",VLOOKUP(A818,RELACIONES!$G$3:$H$65,2,FALSE()))</f>
        <v/>
      </c>
      <c r="J818" s="35" t="str">
        <f>IF(ISBLANK(A818),"",VLOOKUP(C818,RELACIONES!$A$3:$B$70,2,FALSE))</f>
        <v/>
      </c>
      <c r="K818" s="35" t="str">
        <f>IF(ISBLANK(A818),"",VLOOKUP(J818,RELACIONES!$B$3:$E$83,4,FALSE)*E818)</f>
        <v/>
      </c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34" t="str">
        <f>IF(ISBLANK(A819),"",VLOOKUP(A819,RELACIONES!$G$3:$H$65,2,FALSE()))</f>
        <v/>
      </c>
      <c r="J819" s="35" t="str">
        <f>IF(ISBLANK(A819),"",VLOOKUP(C819,RELACIONES!$A$3:$B$70,2,FALSE))</f>
        <v/>
      </c>
      <c r="K819" s="35" t="str">
        <f>IF(ISBLANK(A819),"",VLOOKUP(J819,RELACIONES!$B$3:$E$83,4,FALSE)*E819)</f>
        <v/>
      </c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34" t="str">
        <f>IF(ISBLANK(A820),"",VLOOKUP(A820,RELACIONES!$G$3:$H$65,2,FALSE()))</f>
        <v/>
      </c>
      <c r="J820" s="35" t="str">
        <f>IF(ISBLANK(A820),"",VLOOKUP(C820,RELACIONES!$A$3:$B$70,2,FALSE))</f>
        <v/>
      </c>
      <c r="K820" s="35" t="str">
        <f>IF(ISBLANK(A820),"",VLOOKUP(J820,RELACIONES!$B$3:$E$83,4,FALSE)*E820)</f>
        <v/>
      </c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34" t="str">
        <f>IF(ISBLANK(A821),"",VLOOKUP(A821,RELACIONES!$G$3:$H$65,2,FALSE()))</f>
        <v/>
      </c>
      <c r="J821" s="35" t="str">
        <f>IF(ISBLANK(A821),"",VLOOKUP(C821,RELACIONES!$A$3:$B$70,2,FALSE))</f>
        <v/>
      </c>
      <c r="K821" s="35" t="str">
        <f>IF(ISBLANK(A821),"",VLOOKUP(J821,RELACIONES!$B$3:$E$83,4,FALSE)*E821)</f>
        <v/>
      </c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34" t="str">
        <f>IF(ISBLANK(A822),"",VLOOKUP(A822,RELACIONES!$G$3:$H$65,2,FALSE()))</f>
        <v/>
      </c>
      <c r="J822" s="35" t="str">
        <f>IF(ISBLANK(A822),"",VLOOKUP(C822,RELACIONES!$A$3:$B$70,2,FALSE))</f>
        <v/>
      </c>
      <c r="K822" s="35" t="str">
        <f>IF(ISBLANK(A822),"",VLOOKUP(J822,RELACIONES!$B$3:$E$83,4,FALSE)*E822)</f>
        <v/>
      </c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34" t="str">
        <f>IF(ISBLANK(A823),"",VLOOKUP(A823,RELACIONES!$G$3:$H$65,2,FALSE()))</f>
        <v/>
      </c>
      <c r="J823" s="35" t="str">
        <f>IF(ISBLANK(A823),"",VLOOKUP(C823,RELACIONES!$A$3:$B$70,2,FALSE))</f>
        <v/>
      </c>
      <c r="K823" s="35" t="str">
        <f>IF(ISBLANK(A823),"",VLOOKUP(J823,RELACIONES!$B$3:$E$83,4,FALSE)*E823)</f>
        <v/>
      </c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34" t="str">
        <f>IF(ISBLANK(A824),"",VLOOKUP(A824,RELACIONES!$G$3:$H$65,2,FALSE()))</f>
        <v/>
      </c>
      <c r="J824" s="35" t="str">
        <f>IF(ISBLANK(A824),"",VLOOKUP(C824,RELACIONES!$A$3:$B$70,2,FALSE))</f>
        <v/>
      </c>
      <c r="K824" s="35" t="str">
        <f>IF(ISBLANK(A824),"",VLOOKUP(J824,RELACIONES!$B$3:$E$83,4,FALSE)*E824)</f>
        <v/>
      </c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34" t="str">
        <f>IF(ISBLANK(A825),"",VLOOKUP(A825,RELACIONES!$G$3:$H$65,2,FALSE()))</f>
        <v/>
      </c>
      <c r="J825" s="35" t="str">
        <f>IF(ISBLANK(A825),"",VLOOKUP(C825,RELACIONES!$A$3:$B$70,2,FALSE))</f>
        <v/>
      </c>
      <c r="K825" s="35" t="str">
        <f>IF(ISBLANK(A825),"",VLOOKUP(J825,RELACIONES!$B$3:$E$83,4,FALSE)*E825)</f>
        <v/>
      </c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34" t="str">
        <f>IF(ISBLANK(A826),"",VLOOKUP(A826,RELACIONES!$G$3:$H$65,2,FALSE()))</f>
        <v/>
      </c>
      <c r="J826" s="35" t="str">
        <f>IF(ISBLANK(A826),"",VLOOKUP(C826,RELACIONES!$A$3:$B$70,2,FALSE))</f>
        <v/>
      </c>
      <c r="K826" s="35" t="str">
        <f>IF(ISBLANK(A826),"",VLOOKUP(J826,RELACIONES!$B$3:$E$83,4,FALSE)*E826)</f>
        <v/>
      </c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34" t="str">
        <f>IF(ISBLANK(A827),"",VLOOKUP(A827,RELACIONES!$G$3:$H$65,2,FALSE()))</f>
        <v/>
      </c>
      <c r="J827" s="35" t="str">
        <f>IF(ISBLANK(A827),"",VLOOKUP(C827,RELACIONES!$A$3:$B$70,2,FALSE))</f>
        <v/>
      </c>
      <c r="K827" s="35" t="str">
        <f>IF(ISBLANK(A827),"",VLOOKUP(J827,RELACIONES!$B$3:$E$83,4,FALSE)*E827)</f>
        <v/>
      </c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34" t="str">
        <f>IF(ISBLANK(A828),"",VLOOKUP(A828,RELACIONES!$G$3:$H$65,2,FALSE()))</f>
        <v/>
      </c>
      <c r="J828" s="35" t="str">
        <f>IF(ISBLANK(A828),"",VLOOKUP(C828,RELACIONES!$A$3:$B$70,2,FALSE))</f>
        <v/>
      </c>
      <c r="K828" s="35" t="str">
        <f>IF(ISBLANK(A828),"",VLOOKUP(J828,RELACIONES!$B$3:$E$83,4,FALSE)*E828)</f>
        <v/>
      </c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34" t="str">
        <f>IF(ISBLANK(A829),"",VLOOKUP(A829,RELACIONES!$G$3:$H$65,2,FALSE()))</f>
        <v/>
      </c>
      <c r="J829" s="35" t="str">
        <f>IF(ISBLANK(A829),"",VLOOKUP(C829,RELACIONES!$A$3:$B$70,2,FALSE))</f>
        <v/>
      </c>
      <c r="K829" s="35" t="str">
        <f>IF(ISBLANK(A829),"",VLOOKUP(J829,RELACIONES!$B$3:$E$83,4,FALSE)*E829)</f>
        <v/>
      </c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34" t="str">
        <f>IF(ISBLANK(A830),"",VLOOKUP(A830,RELACIONES!$G$3:$H$65,2,FALSE()))</f>
        <v/>
      </c>
      <c r="J830" s="35" t="str">
        <f>IF(ISBLANK(A830),"",VLOOKUP(C830,RELACIONES!$A$3:$B$70,2,FALSE))</f>
        <v/>
      </c>
      <c r="K830" s="35" t="str">
        <f>IF(ISBLANK(A830),"",VLOOKUP(J830,RELACIONES!$B$3:$E$83,4,FALSE)*E830)</f>
        <v/>
      </c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34" t="str">
        <f>IF(ISBLANK(A831),"",VLOOKUP(A831,RELACIONES!$G$3:$H$65,2,FALSE()))</f>
        <v/>
      </c>
      <c r="J831" s="35" t="str">
        <f>IF(ISBLANK(A831),"",VLOOKUP(C831,RELACIONES!$A$3:$B$70,2,FALSE))</f>
        <v/>
      </c>
      <c r="K831" s="35" t="str">
        <f>IF(ISBLANK(A831),"",VLOOKUP(J831,RELACIONES!$B$3:$E$83,4,FALSE)*E831)</f>
        <v/>
      </c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34" t="str">
        <f>IF(ISBLANK(A832),"",VLOOKUP(A832,RELACIONES!$G$3:$H$65,2,FALSE()))</f>
        <v/>
      </c>
      <c r="J832" s="35" t="str">
        <f>IF(ISBLANK(A832),"",VLOOKUP(C832,RELACIONES!$A$3:$B$70,2,FALSE))</f>
        <v/>
      </c>
      <c r="K832" s="35" t="str">
        <f>IF(ISBLANK(A832),"",VLOOKUP(J832,RELACIONES!$B$3:$E$83,4,FALSE)*E832)</f>
        <v/>
      </c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34" t="str">
        <f>IF(ISBLANK(A833),"",VLOOKUP(A833,RELACIONES!$G$3:$H$65,2,FALSE()))</f>
        <v/>
      </c>
      <c r="J833" s="35" t="str">
        <f>IF(ISBLANK(A833),"",VLOOKUP(C833,RELACIONES!$A$3:$B$70,2,FALSE))</f>
        <v/>
      </c>
      <c r="K833" s="35" t="str">
        <f>IF(ISBLANK(A833),"",VLOOKUP(J833,RELACIONES!$B$3:$E$83,4,FALSE)*E833)</f>
        <v/>
      </c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34" t="str">
        <f>IF(ISBLANK(A834),"",VLOOKUP(A834,RELACIONES!$G$3:$H$65,2,FALSE()))</f>
        <v/>
      </c>
      <c r="J834" s="35" t="str">
        <f>IF(ISBLANK(A834),"",VLOOKUP(C834,RELACIONES!$A$3:$B$70,2,FALSE))</f>
        <v/>
      </c>
      <c r="K834" s="35" t="str">
        <f>IF(ISBLANK(A834),"",VLOOKUP(J834,RELACIONES!$B$3:$E$83,4,FALSE)*E834)</f>
        <v/>
      </c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34" t="str">
        <f>IF(ISBLANK(A835),"",VLOOKUP(A835,RELACIONES!$G$3:$H$65,2,FALSE()))</f>
        <v/>
      </c>
      <c r="J835" s="35" t="str">
        <f>IF(ISBLANK(A835),"",VLOOKUP(C835,RELACIONES!$A$3:$B$70,2,FALSE))</f>
        <v/>
      </c>
      <c r="K835" s="35" t="str">
        <f>IF(ISBLANK(A835),"",VLOOKUP(J835,RELACIONES!$B$3:$E$83,4,FALSE)*E835)</f>
        <v/>
      </c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34" t="str">
        <f>IF(ISBLANK(A836),"",VLOOKUP(A836,RELACIONES!$G$3:$H$65,2,FALSE()))</f>
        <v/>
      </c>
      <c r="J836" s="35" t="str">
        <f>IF(ISBLANK(A836),"",VLOOKUP(C836,RELACIONES!$A$3:$B$70,2,FALSE))</f>
        <v/>
      </c>
      <c r="K836" s="35" t="str">
        <f>IF(ISBLANK(A836),"",VLOOKUP(J836,RELACIONES!$B$3:$E$83,4,FALSE)*E836)</f>
        <v/>
      </c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34" t="str">
        <f>IF(ISBLANK(A837),"",VLOOKUP(A837,RELACIONES!$G$3:$H$65,2,FALSE()))</f>
        <v/>
      </c>
      <c r="J837" s="35" t="str">
        <f>IF(ISBLANK(A837),"",VLOOKUP(C837,RELACIONES!$A$3:$B$70,2,FALSE))</f>
        <v/>
      </c>
      <c r="K837" s="35" t="str">
        <f>IF(ISBLANK(A837),"",VLOOKUP(J837,RELACIONES!$B$3:$E$83,4,FALSE)*E837)</f>
        <v/>
      </c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34" t="str">
        <f>IF(ISBLANK(A838),"",VLOOKUP(A838,RELACIONES!$G$3:$H$65,2,FALSE()))</f>
        <v/>
      </c>
      <c r="J838" s="35" t="str">
        <f>IF(ISBLANK(A838),"",VLOOKUP(C838,RELACIONES!$A$3:$B$70,2,FALSE))</f>
        <v/>
      </c>
      <c r="K838" s="35" t="str">
        <f>IF(ISBLANK(A838),"",VLOOKUP(J838,RELACIONES!$B$3:$E$83,4,FALSE)*E838)</f>
        <v/>
      </c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34" t="str">
        <f>IF(ISBLANK(A839),"",VLOOKUP(A839,RELACIONES!$G$3:$H$65,2,FALSE()))</f>
        <v/>
      </c>
      <c r="J839" s="35" t="str">
        <f>IF(ISBLANK(A839),"",VLOOKUP(C839,RELACIONES!$A$3:$B$70,2,FALSE))</f>
        <v/>
      </c>
      <c r="K839" s="35" t="str">
        <f>IF(ISBLANK(A839),"",VLOOKUP(J839,RELACIONES!$B$3:$E$83,4,FALSE)*E839)</f>
        <v/>
      </c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34" t="str">
        <f>IF(ISBLANK(A840),"",VLOOKUP(A840,RELACIONES!$G$3:$H$65,2,FALSE()))</f>
        <v/>
      </c>
      <c r="J840" s="35" t="str">
        <f>IF(ISBLANK(A840),"",VLOOKUP(C840,RELACIONES!$A$3:$B$70,2,FALSE))</f>
        <v/>
      </c>
      <c r="K840" s="35" t="str">
        <f>IF(ISBLANK(A840),"",VLOOKUP(J840,RELACIONES!$B$3:$E$83,4,FALSE)*E840)</f>
        <v/>
      </c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34" t="str">
        <f>IF(ISBLANK(A841),"",VLOOKUP(A841,RELACIONES!$G$3:$H$65,2,FALSE()))</f>
        <v/>
      </c>
      <c r="J841" s="35" t="str">
        <f>IF(ISBLANK(A841),"",VLOOKUP(C841,RELACIONES!$A$3:$B$70,2,FALSE))</f>
        <v/>
      </c>
      <c r="K841" s="35" t="str">
        <f>IF(ISBLANK(A841),"",VLOOKUP(J841,RELACIONES!$B$3:$E$83,4,FALSE)*E841)</f>
        <v/>
      </c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34" t="str">
        <f>IF(ISBLANK(A842),"",VLOOKUP(A842,RELACIONES!$G$3:$H$65,2,FALSE()))</f>
        <v/>
      </c>
      <c r="J842" s="35" t="str">
        <f>IF(ISBLANK(A842),"",VLOOKUP(C842,RELACIONES!$A$3:$B$70,2,FALSE))</f>
        <v/>
      </c>
      <c r="K842" s="35" t="str">
        <f>IF(ISBLANK(A842),"",VLOOKUP(J842,RELACIONES!$B$3:$E$83,4,FALSE)*E842)</f>
        <v/>
      </c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34" t="str">
        <f>IF(ISBLANK(A843),"",VLOOKUP(A843,RELACIONES!$G$3:$H$65,2,FALSE()))</f>
        <v/>
      </c>
      <c r="J843" s="35" t="str">
        <f>IF(ISBLANK(A843),"",VLOOKUP(C843,RELACIONES!$A$3:$B$70,2,FALSE))</f>
        <v/>
      </c>
      <c r="K843" s="35" t="str">
        <f>IF(ISBLANK(A843),"",VLOOKUP(J843,RELACIONES!$B$3:$E$83,4,FALSE)*E843)</f>
        <v/>
      </c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34" t="str">
        <f>IF(ISBLANK(A844),"",VLOOKUP(A844,RELACIONES!$G$3:$H$65,2,FALSE()))</f>
        <v/>
      </c>
      <c r="J844" s="35" t="str">
        <f>IF(ISBLANK(A844),"",VLOOKUP(C844,RELACIONES!$A$3:$B$70,2,FALSE))</f>
        <v/>
      </c>
      <c r="K844" s="35" t="str">
        <f>IF(ISBLANK(A844),"",VLOOKUP(J844,RELACIONES!$B$3:$E$83,4,FALSE)*E844)</f>
        <v/>
      </c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34" t="str">
        <f>IF(ISBLANK(A845),"",VLOOKUP(A845,RELACIONES!$G$3:$H$65,2,FALSE()))</f>
        <v/>
      </c>
      <c r="J845" s="35" t="str">
        <f>IF(ISBLANK(A845),"",VLOOKUP(C845,RELACIONES!$A$3:$B$70,2,FALSE))</f>
        <v/>
      </c>
      <c r="K845" s="35" t="str">
        <f>IF(ISBLANK(A845),"",VLOOKUP(J845,RELACIONES!$B$3:$E$83,4,FALSE)*E845)</f>
        <v/>
      </c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34" t="str">
        <f>IF(ISBLANK(A846),"",VLOOKUP(A846,RELACIONES!$G$3:$H$65,2,FALSE()))</f>
        <v/>
      </c>
      <c r="J846" s="35" t="str">
        <f>IF(ISBLANK(A846),"",VLOOKUP(C846,RELACIONES!$A$3:$B$70,2,FALSE))</f>
        <v/>
      </c>
      <c r="K846" s="35" t="str">
        <f>IF(ISBLANK(A846),"",VLOOKUP(J846,RELACIONES!$B$3:$E$83,4,FALSE)*E846)</f>
        <v/>
      </c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34" t="str">
        <f>IF(ISBLANK(A847),"",VLOOKUP(A847,RELACIONES!$G$3:$H$65,2,FALSE()))</f>
        <v/>
      </c>
      <c r="J847" s="35" t="str">
        <f>IF(ISBLANK(A847),"",VLOOKUP(C847,RELACIONES!$A$3:$B$70,2,FALSE))</f>
        <v/>
      </c>
      <c r="K847" s="35" t="str">
        <f>IF(ISBLANK(A847),"",VLOOKUP(J847,RELACIONES!$B$3:$E$83,4,FALSE)*E847)</f>
        <v/>
      </c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34" t="str">
        <f>IF(ISBLANK(A848),"",VLOOKUP(A848,RELACIONES!$G$3:$H$65,2,FALSE()))</f>
        <v/>
      </c>
      <c r="J848" s="35" t="str">
        <f>IF(ISBLANK(A848),"",VLOOKUP(C848,RELACIONES!$A$3:$B$70,2,FALSE))</f>
        <v/>
      </c>
      <c r="K848" s="35" t="str">
        <f>IF(ISBLANK(A848),"",VLOOKUP(J848,RELACIONES!$B$3:$E$83,4,FALSE)*E848)</f>
        <v/>
      </c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34" t="str">
        <f>IF(ISBLANK(A849),"",VLOOKUP(A849,RELACIONES!$G$3:$H$65,2,FALSE()))</f>
        <v/>
      </c>
      <c r="J849" s="35" t="str">
        <f>IF(ISBLANK(A849),"",VLOOKUP(C849,RELACIONES!$A$3:$B$70,2,FALSE))</f>
        <v/>
      </c>
      <c r="K849" s="35" t="str">
        <f>IF(ISBLANK(A849),"",VLOOKUP(J849,RELACIONES!$B$3:$E$83,4,FALSE)*E849)</f>
        <v/>
      </c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34" t="str">
        <f>IF(ISBLANK(A850),"",VLOOKUP(A850,RELACIONES!$G$3:$H$65,2,FALSE()))</f>
        <v/>
      </c>
      <c r="J850" s="35" t="str">
        <f>IF(ISBLANK(A850),"",VLOOKUP(C850,RELACIONES!$A$3:$B$70,2,FALSE))</f>
        <v/>
      </c>
      <c r="K850" s="35" t="str">
        <f>IF(ISBLANK(A850),"",VLOOKUP(J850,RELACIONES!$B$3:$E$83,4,FALSE)*E850)</f>
        <v/>
      </c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34" t="str">
        <f>IF(ISBLANK(A851),"",VLOOKUP(A851,RELACIONES!$G$3:$H$65,2,FALSE()))</f>
        <v/>
      </c>
      <c r="J851" s="35" t="str">
        <f>IF(ISBLANK(A851),"",VLOOKUP(C851,RELACIONES!$A$3:$B$70,2,FALSE))</f>
        <v/>
      </c>
      <c r="K851" s="35" t="str">
        <f>IF(ISBLANK(A851),"",VLOOKUP(J851,RELACIONES!$B$3:$E$83,4,FALSE)*E851)</f>
        <v/>
      </c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34" t="str">
        <f>IF(ISBLANK(A852),"",VLOOKUP(A852,RELACIONES!$G$3:$H$65,2,FALSE()))</f>
        <v/>
      </c>
      <c r="J852" s="35" t="str">
        <f>IF(ISBLANK(A852),"",VLOOKUP(C852,RELACIONES!$A$3:$B$70,2,FALSE))</f>
        <v/>
      </c>
      <c r="K852" s="35" t="str">
        <f>IF(ISBLANK(A852),"",VLOOKUP(J852,RELACIONES!$B$3:$E$83,4,FALSE)*E852)</f>
        <v/>
      </c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34" t="str">
        <f>IF(ISBLANK(A853),"",VLOOKUP(A853,RELACIONES!$G$3:$H$65,2,FALSE()))</f>
        <v/>
      </c>
      <c r="J853" s="35" t="str">
        <f>IF(ISBLANK(A853),"",VLOOKUP(C853,RELACIONES!$A$3:$B$70,2,FALSE))</f>
        <v/>
      </c>
      <c r="K853" s="35" t="str">
        <f>IF(ISBLANK(A853),"",VLOOKUP(J853,RELACIONES!$B$3:$E$83,4,FALSE)*E853)</f>
        <v/>
      </c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34" t="str">
        <f>IF(ISBLANK(A854),"",VLOOKUP(A854,RELACIONES!$G$3:$H$65,2,FALSE()))</f>
        <v/>
      </c>
      <c r="J854" s="35" t="str">
        <f>IF(ISBLANK(A854),"",VLOOKUP(C854,RELACIONES!$A$3:$B$70,2,FALSE))</f>
        <v/>
      </c>
      <c r="K854" s="35" t="str">
        <f>IF(ISBLANK(A854),"",VLOOKUP(J854,RELACIONES!$B$3:$E$83,4,FALSE)*E854)</f>
        <v/>
      </c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34" t="str">
        <f>IF(ISBLANK(A855),"",VLOOKUP(A855,RELACIONES!$G$3:$H$65,2,FALSE()))</f>
        <v/>
      </c>
      <c r="J855" s="35" t="str">
        <f>IF(ISBLANK(A855),"",VLOOKUP(C855,RELACIONES!$A$3:$B$70,2,FALSE))</f>
        <v/>
      </c>
      <c r="K855" s="35" t="str">
        <f>IF(ISBLANK(A855),"",VLOOKUP(J855,RELACIONES!$B$3:$E$83,4,FALSE)*E855)</f>
        <v/>
      </c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34" t="str">
        <f>IF(ISBLANK(A856),"",VLOOKUP(A856,RELACIONES!$G$3:$H$65,2,FALSE()))</f>
        <v/>
      </c>
      <c r="J856" s="35" t="str">
        <f>IF(ISBLANK(A856),"",VLOOKUP(C856,RELACIONES!$A$3:$B$70,2,FALSE))</f>
        <v/>
      </c>
      <c r="K856" s="35" t="str">
        <f>IF(ISBLANK(A856),"",VLOOKUP(J856,RELACIONES!$B$3:$E$83,4,FALSE)*E856)</f>
        <v/>
      </c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34" t="str">
        <f>IF(ISBLANK(A857),"",VLOOKUP(A857,RELACIONES!$G$3:$H$65,2,FALSE()))</f>
        <v/>
      </c>
      <c r="J857" s="35" t="str">
        <f>IF(ISBLANK(A857),"",VLOOKUP(C857,RELACIONES!$A$3:$B$70,2,FALSE))</f>
        <v/>
      </c>
      <c r="K857" s="35" t="str">
        <f>IF(ISBLANK(A857),"",VLOOKUP(J857,RELACIONES!$B$3:$E$83,4,FALSE)*E857)</f>
        <v/>
      </c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34" t="str">
        <f>IF(ISBLANK(A858),"",VLOOKUP(A858,RELACIONES!$G$3:$H$65,2,FALSE()))</f>
        <v/>
      </c>
      <c r="J858" s="35" t="str">
        <f>IF(ISBLANK(A858),"",VLOOKUP(C858,RELACIONES!$A$3:$B$70,2,FALSE))</f>
        <v/>
      </c>
      <c r="K858" s="35" t="str">
        <f>IF(ISBLANK(A858),"",VLOOKUP(J858,RELACIONES!$B$3:$E$83,4,FALSE)*E858)</f>
        <v/>
      </c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34" t="str">
        <f>IF(ISBLANK(A859),"",VLOOKUP(A859,RELACIONES!$G$3:$H$65,2,FALSE()))</f>
        <v/>
      </c>
      <c r="J859" s="35" t="str">
        <f>IF(ISBLANK(A859),"",VLOOKUP(C859,RELACIONES!$A$3:$B$70,2,FALSE))</f>
        <v/>
      </c>
      <c r="K859" s="35" t="str">
        <f>IF(ISBLANK(A859),"",VLOOKUP(J859,RELACIONES!$B$3:$E$83,4,FALSE)*E859)</f>
        <v/>
      </c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34" t="str">
        <f>IF(ISBLANK(A860),"",VLOOKUP(A860,RELACIONES!$G$3:$H$65,2,FALSE()))</f>
        <v/>
      </c>
      <c r="J860" s="35" t="str">
        <f>IF(ISBLANK(A860),"",VLOOKUP(C860,RELACIONES!$A$3:$B$70,2,FALSE))</f>
        <v/>
      </c>
      <c r="K860" s="35" t="str">
        <f>IF(ISBLANK(A860),"",VLOOKUP(J860,RELACIONES!$B$3:$E$83,4,FALSE)*E860)</f>
        <v/>
      </c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34" t="str">
        <f>IF(ISBLANK(A861),"",VLOOKUP(A861,RELACIONES!$G$3:$H$65,2,FALSE()))</f>
        <v/>
      </c>
      <c r="J861" s="35" t="str">
        <f>IF(ISBLANK(A861),"",VLOOKUP(C861,RELACIONES!$A$3:$B$70,2,FALSE))</f>
        <v/>
      </c>
      <c r="K861" s="35" t="str">
        <f>IF(ISBLANK(A861),"",VLOOKUP(J861,RELACIONES!$B$3:$E$83,4,FALSE)*E861)</f>
        <v/>
      </c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34" t="str">
        <f>IF(ISBLANK(A862),"",VLOOKUP(A862,RELACIONES!$G$3:$H$65,2,FALSE()))</f>
        <v/>
      </c>
      <c r="J862" s="35" t="str">
        <f>IF(ISBLANK(A862),"",VLOOKUP(C862,RELACIONES!$A$3:$B$70,2,FALSE))</f>
        <v/>
      </c>
      <c r="K862" s="35" t="str">
        <f>IF(ISBLANK(A862),"",VLOOKUP(J862,RELACIONES!$B$3:$E$83,4,FALSE)*E862)</f>
        <v/>
      </c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34" t="str">
        <f>IF(ISBLANK(A863),"",VLOOKUP(A863,RELACIONES!$G$3:$H$65,2,FALSE()))</f>
        <v/>
      </c>
      <c r="J863" s="35" t="str">
        <f>IF(ISBLANK(A863),"",VLOOKUP(C863,RELACIONES!$A$3:$B$70,2,FALSE))</f>
        <v/>
      </c>
      <c r="K863" s="35" t="str">
        <f>IF(ISBLANK(A863),"",VLOOKUP(J863,RELACIONES!$B$3:$E$83,4,FALSE)*E863)</f>
        <v/>
      </c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34" t="str">
        <f>IF(ISBLANK(A864),"",VLOOKUP(A864,RELACIONES!$G$3:$H$65,2,FALSE()))</f>
        <v/>
      </c>
      <c r="J864" s="35" t="str">
        <f>IF(ISBLANK(A864),"",VLOOKUP(C864,RELACIONES!$A$3:$B$70,2,FALSE))</f>
        <v/>
      </c>
      <c r="K864" s="35" t="str">
        <f>IF(ISBLANK(A864),"",VLOOKUP(J864,RELACIONES!$B$3:$E$83,4,FALSE)*E864)</f>
        <v/>
      </c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34" t="str">
        <f>IF(ISBLANK(A865),"",VLOOKUP(A865,RELACIONES!$G$3:$H$65,2,FALSE()))</f>
        <v/>
      </c>
      <c r="J865" s="35" t="str">
        <f>IF(ISBLANK(A865),"",VLOOKUP(C865,RELACIONES!$A$3:$B$70,2,FALSE))</f>
        <v/>
      </c>
      <c r="K865" s="35" t="str">
        <f>IF(ISBLANK(A865),"",VLOOKUP(J865,RELACIONES!$B$3:$E$83,4,FALSE)*E865)</f>
        <v/>
      </c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34" t="str">
        <f>IF(ISBLANK(A866),"",VLOOKUP(A866,RELACIONES!$G$3:$H$65,2,FALSE()))</f>
        <v/>
      </c>
      <c r="J866" s="35" t="str">
        <f>IF(ISBLANK(A866),"",VLOOKUP(C866,RELACIONES!$A$3:$B$70,2,FALSE))</f>
        <v/>
      </c>
      <c r="K866" s="35" t="str">
        <f>IF(ISBLANK(A866),"",VLOOKUP(J866,RELACIONES!$B$3:$E$83,4,FALSE)*E866)</f>
        <v/>
      </c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34" t="str">
        <f>IF(ISBLANK(A867),"",VLOOKUP(A867,RELACIONES!$G$3:$H$65,2,FALSE()))</f>
        <v/>
      </c>
      <c r="J867" s="35" t="str">
        <f>IF(ISBLANK(A867),"",VLOOKUP(C867,RELACIONES!$A$3:$B$70,2,FALSE))</f>
        <v/>
      </c>
      <c r="K867" s="35" t="str">
        <f>IF(ISBLANK(A867),"",VLOOKUP(J867,RELACIONES!$B$3:$E$83,4,FALSE)*E867)</f>
        <v/>
      </c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34" t="str">
        <f>IF(ISBLANK(A868),"",VLOOKUP(A868,RELACIONES!$G$3:$H$65,2,FALSE()))</f>
        <v/>
      </c>
      <c r="J868" s="35" t="str">
        <f>IF(ISBLANK(A868),"",VLOOKUP(C868,RELACIONES!$A$3:$B$70,2,FALSE))</f>
        <v/>
      </c>
      <c r="K868" s="35" t="str">
        <f>IF(ISBLANK(A868),"",VLOOKUP(J868,RELACIONES!$B$3:$E$83,4,FALSE)*E868)</f>
        <v/>
      </c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34" t="str">
        <f>IF(ISBLANK(A869),"",VLOOKUP(A869,RELACIONES!$G$3:$H$65,2,FALSE()))</f>
        <v/>
      </c>
      <c r="J869" s="35" t="str">
        <f>IF(ISBLANK(A869),"",VLOOKUP(C869,RELACIONES!$A$3:$B$70,2,FALSE))</f>
        <v/>
      </c>
      <c r="K869" s="35" t="str">
        <f>IF(ISBLANK(A869),"",VLOOKUP(J869,RELACIONES!$B$3:$E$83,4,FALSE)*E869)</f>
        <v/>
      </c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34" t="str">
        <f>IF(ISBLANK(A870),"",VLOOKUP(A870,RELACIONES!$G$3:$H$65,2,FALSE()))</f>
        <v/>
      </c>
      <c r="J870" s="35" t="str">
        <f>IF(ISBLANK(A870),"",VLOOKUP(C870,RELACIONES!$A$3:$B$70,2,FALSE))</f>
        <v/>
      </c>
      <c r="K870" s="35" t="str">
        <f>IF(ISBLANK(A870),"",VLOOKUP(J870,RELACIONES!$B$3:$E$83,4,FALSE)*E870)</f>
        <v/>
      </c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34" t="str">
        <f>IF(ISBLANK(A871),"",VLOOKUP(A871,RELACIONES!$G$3:$H$65,2,FALSE()))</f>
        <v/>
      </c>
      <c r="J871" s="35" t="str">
        <f>IF(ISBLANK(A871),"",VLOOKUP(C871,RELACIONES!$A$3:$B$70,2,FALSE))</f>
        <v/>
      </c>
      <c r="K871" s="35" t="str">
        <f>IF(ISBLANK(A871),"",VLOOKUP(J871,RELACIONES!$B$3:$E$83,4,FALSE)*E871)</f>
        <v/>
      </c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34" t="str">
        <f>IF(ISBLANK(A872),"",VLOOKUP(A872,RELACIONES!$G$3:$H$65,2,FALSE()))</f>
        <v/>
      </c>
      <c r="J872" s="35" t="str">
        <f>IF(ISBLANK(A872),"",VLOOKUP(C872,RELACIONES!$A$3:$B$70,2,FALSE))</f>
        <v/>
      </c>
      <c r="K872" s="35" t="str">
        <f>IF(ISBLANK(A872),"",VLOOKUP(J872,RELACIONES!$B$3:$E$83,4,FALSE)*E872)</f>
        <v/>
      </c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34" t="str">
        <f>IF(ISBLANK(A873),"",VLOOKUP(A873,RELACIONES!$G$3:$H$65,2,FALSE()))</f>
        <v/>
      </c>
      <c r="J873" s="35" t="str">
        <f>IF(ISBLANK(A873),"",VLOOKUP(C873,RELACIONES!$A$3:$B$70,2,FALSE))</f>
        <v/>
      </c>
      <c r="K873" s="35" t="str">
        <f>IF(ISBLANK(A873),"",VLOOKUP(J873,RELACIONES!$B$3:$E$83,4,FALSE)*E873)</f>
        <v/>
      </c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34" t="str">
        <f>IF(ISBLANK(A874),"",VLOOKUP(A874,RELACIONES!$G$3:$H$65,2,FALSE()))</f>
        <v/>
      </c>
      <c r="J874" s="35" t="str">
        <f>IF(ISBLANK(A874),"",VLOOKUP(C874,RELACIONES!$A$3:$B$70,2,FALSE))</f>
        <v/>
      </c>
      <c r="K874" s="35" t="str">
        <f>IF(ISBLANK(A874),"",VLOOKUP(J874,RELACIONES!$B$3:$E$83,4,FALSE)*E874)</f>
        <v/>
      </c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34" t="str">
        <f>IF(ISBLANK(A875),"",VLOOKUP(A875,RELACIONES!$G$3:$H$65,2,FALSE()))</f>
        <v/>
      </c>
      <c r="J875" s="35" t="str">
        <f>IF(ISBLANK(A875),"",VLOOKUP(C875,RELACIONES!$A$3:$B$70,2,FALSE))</f>
        <v/>
      </c>
      <c r="K875" s="35" t="str">
        <f>IF(ISBLANK(A875),"",VLOOKUP(J875,RELACIONES!$B$3:$E$83,4,FALSE)*E875)</f>
        <v/>
      </c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34" t="str">
        <f>IF(ISBLANK(A876),"",VLOOKUP(A876,RELACIONES!$G$3:$H$65,2,FALSE()))</f>
        <v/>
      </c>
      <c r="J876" s="35" t="str">
        <f>IF(ISBLANK(A876),"",VLOOKUP(C876,RELACIONES!$A$3:$B$70,2,FALSE))</f>
        <v/>
      </c>
      <c r="K876" s="35" t="str">
        <f>IF(ISBLANK(A876),"",VLOOKUP(J876,RELACIONES!$B$3:$E$83,4,FALSE)*E876)</f>
        <v/>
      </c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34" t="str">
        <f>IF(ISBLANK(A877),"",VLOOKUP(A877,RELACIONES!$G$3:$H$65,2,FALSE()))</f>
        <v/>
      </c>
      <c r="J877" s="35" t="str">
        <f>IF(ISBLANK(A877),"",VLOOKUP(C877,RELACIONES!$A$3:$B$70,2,FALSE))</f>
        <v/>
      </c>
      <c r="K877" s="35" t="str">
        <f>IF(ISBLANK(A877),"",VLOOKUP(J877,RELACIONES!$B$3:$E$83,4,FALSE)*E877)</f>
        <v/>
      </c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34" t="str">
        <f>IF(ISBLANK(A878),"",VLOOKUP(A878,RELACIONES!$G$3:$H$65,2,FALSE()))</f>
        <v/>
      </c>
      <c r="J878" s="35" t="str">
        <f>IF(ISBLANK(A878),"",VLOOKUP(C878,RELACIONES!$A$3:$B$70,2,FALSE))</f>
        <v/>
      </c>
      <c r="K878" s="35" t="str">
        <f>IF(ISBLANK(A878),"",VLOOKUP(J878,RELACIONES!$B$3:$E$83,4,FALSE)*E878)</f>
        <v/>
      </c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34" t="str">
        <f>IF(ISBLANK(A879),"",VLOOKUP(A879,RELACIONES!$G$3:$H$65,2,FALSE()))</f>
        <v/>
      </c>
      <c r="J879" s="35" t="str">
        <f>IF(ISBLANK(A879),"",VLOOKUP(C879,RELACIONES!$A$3:$B$70,2,FALSE))</f>
        <v/>
      </c>
      <c r="K879" s="35" t="str">
        <f>IF(ISBLANK(A879),"",VLOOKUP(J879,RELACIONES!$B$3:$E$83,4,FALSE)*E879)</f>
        <v/>
      </c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34" t="str">
        <f>IF(ISBLANK(A880),"",VLOOKUP(A880,RELACIONES!$G$3:$H$65,2,FALSE()))</f>
        <v/>
      </c>
      <c r="J880" s="35" t="str">
        <f>IF(ISBLANK(A880),"",VLOOKUP(C880,RELACIONES!$A$3:$B$70,2,FALSE))</f>
        <v/>
      </c>
      <c r="K880" s="35" t="str">
        <f>IF(ISBLANK(A880),"",VLOOKUP(J880,RELACIONES!$B$3:$E$83,4,FALSE)*E880)</f>
        <v/>
      </c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34" t="str">
        <f>IF(ISBLANK(A881),"",VLOOKUP(A881,RELACIONES!$G$3:$H$65,2,FALSE()))</f>
        <v/>
      </c>
      <c r="J881" s="35" t="str">
        <f>IF(ISBLANK(A881),"",VLOOKUP(C881,RELACIONES!$A$3:$B$70,2,FALSE))</f>
        <v/>
      </c>
      <c r="K881" s="35" t="str">
        <f>IF(ISBLANK(A881),"",VLOOKUP(J881,RELACIONES!$B$3:$E$83,4,FALSE)*E881)</f>
        <v/>
      </c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34" t="str">
        <f>IF(ISBLANK(A882),"",VLOOKUP(A882,RELACIONES!$G$3:$H$65,2,FALSE()))</f>
        <v/>
      </c>
      <c r="J882" s="35" t="str">
        <f>IF(ISBLANK(A882),"",VLOOKUP(C882,RELACIONES!$A$3:$B$70,2,FALSE))</f>
        <v/>
      </c>
      <c r="K882" s="35" t="str">
        <f>IF(ISBLANK(A882),"",VLOOKUP(J882,RELACIONES!$B$3:$E$83,4,FALSE)*E882)</f>
        <v/>
      </c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34" t="str">
        <f>IF(ISBLANK(A883),"",VLOOKUP(A883,RELACIONES!$G$3:$H$65,2,FALSE()))</f>
        <v/>
      </c>
      <c r="J883" s="35" t="str">
        <f>IF(ISBLANK(A883),"",VLOOKUP(C883,RELACIONES!$A$3:$B$70,2,FALSE))</f>
        <v/>
      </c>
      <c r="K883" s="35" t="str">
        <f>IF(ISBLANK(A883),"",VLOOKUP(J883,RELACIONES!$B$3:$E$83,4,FALSE)*E883)</f>
        <v/>
      </c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34" t="str">
        <f>IF(ISBLANK(A884),"",VLOOKUP(A884,RELACIONES!$G$3:$H$65,2,FALSE()))</f>
        <v/>
      </c>
      <c r="J884" s="35" t="str">
        <f>IF(ISBLANK(A884),"",VLOOKUP(C884,RELACIONES!$A$3:$B$70,2,FALSE))</f>
        <v/>
      </c>
      <c r="K884" s="35" t="str">
        <f>IF(ISBLANK(A884),"",VLOOKUP(J884,RELACIONES!$B$3:$E$83,4,FALSE)*E884)</f>
        <v/>
      </c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34" t="str">
        <f>IF(ISBLANK(A885),"",VLOOKUP(A885,RELACIONES!$G$3:$H$65,2,FALSE()))</f>
        <v/>
      </c>
      <c r="J885" s="35" t="str">
        <f>IF(ISBLANK(A885),"",VLOOKUP(C885,RELACIONES!$A$3:$B$70,2,FALSE))</f>
        <v/>
      </c>
      <c r="K885" s="35" t="str">
        <f>IF(ISBLANK(A885),"",VLOOKUP(J885,RELACIONES!$B$3:$E$83,4,FALSE)*E885)</f>
        <v/>
      </c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34" t="str">
        <f>IF(ISBLANK(A886),"",VLOOKUP(A886,RELACIONES!$G$3:$H$65,2,FALSE()))</f>
        <v/>
      </c>
      <c r="J886" s="35" t="str">
        <f>IF(ISBLANK(A886),"",VLOOKUP(C886,RELACIONES!$A$3:$B$70,2,FALSE))</f>
        <v/>
      </c>
      <c r="K886" s="35" t="str">
        <f>IF(ISBLANK(A886),"",VLOOKUP(J886,RELACIONES!$B$3:$E$83,4,FALSE)*E886)</f>
        <v/>
      </c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34" t="str">
        <f>IF(ISBLANK(A887),"",VLOOKUP(A887,RELACIONES!$G$3:$H$65,2,FALSE()))</f>
        <v/>
      </c>
      <c r="J887" s="35" t="str">
        <f>IF(ISBLANK(A887),"",VLOOKUP(C887,RELACIONES!$A$3:$B$70,2,FALSE))</f>
        <v/>
      </c>
      <c r="K887" s="35" t="str">
        <f>IF(ISBLANK(A887),"",VLOOKUP(J887,RELACIONES!$B$3:$E$83,4,FALSE)*E887)</f>
        <v/>
      </c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34" t="str">
        <f>IF(ISBLANK(A888),"",VLOOKUP(A888,RELACIONES!$G$3:$H$65,2,FALSE()))</f>
        <v/>
      </c>
      <c r="J888" s="35" t="str">
        <f>IF(ISBLANK(A888),"",VLOOKUP(C888,RELACIONES!$A$3:$B$70,2,FALSE))</f>
        <v/>
      </c>
      <c r="K888" s="35" t="str">
        <f>IF(ISBLANK(A888),"",VLOOKUP(J888,RELACIONES!$B$3:$E$83,4,FALSE)*E888)</f>
        <v/>
      </c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34" t="str">
        <f>IF(ISBLANK(A889),"",VLOOKUP(A889,RELACIONES!$G$3:$H$65,2,FALSE()))</f>
        <v/>
      </c>
      <c r="J889" s="35" t="str">
        <f>IF(ISBLANK(A889),"",VLOOKUP(C889,RELACIONES!$A$3:$B$70,2,FALSE))</f>
        <v/>
      </c>
      <c r="K889" s="35" t="str">
        <f>IF(ISBLANK(A889),"",VLOOKUP(J889,RELACIONES!$B$3:$E$83,4,FALSE)*E889)</f>
        <v/>
      </c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34" t="str">
        <f>IF(ISBLANK(A890),"",VLOOKUP(A890,RELACIONES!$G$3:$H$65,2,FALSE()))</f>
        <v/>
      </c>
      <c r="J890" s="35" t="str">
        <f>IF(ISBLANK(A890),"",VLOOKUP(C890,RELACIONES!$A$3:$B$70,2,FALSE))</f>
        <v/>
      </c>
      <c r="K890" s="35" t="str">
        <f>IF(ISBLANK(A890),"",VLOOKUP(J890,RELACIONES!$B$3:$E$83,4,FALSE)*E890)</f>
        <v/>
      </c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34" t="str">
        <f>IF(ISBLANK(A891),"",VLOOKUP(A891,RELACIONES!$G$3:$H$65,2,FALSE()))</f>
        <v/>
      </c>
      <c r="J891" s="35" t="str">
        <f>IF(ISBLANK(A891),"",VLOOKUP(C891,RELACIONES!$A$3:$B$70,2,FALSE))</f>
        <v/>
      </c>
      <c r="K891" s="35" t="str">
        <f>IF(ISBLANK(A891),"",VLOOKUP(J891,RELACIONES!$B$3:$E$83,4,FALSE)*E891)</f>
        <v/>
      </c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34" t="str">
        <f>IF(ISBLANK(A892),"",VLOOKUP(A892,RELACIONES!$G$3:$H$65,2,FALSE()))</f>
        <v/>
      </c>
      <c r="J892" s="35" t="str">
        <f>IF(ISBLANK(A892),"",VLOOKUP(C892,RELACIONES!$A$3:$B$70,2,FALSE))</f>
        <v/>
      </c>
      <c r="K892" s="35" t="str">
        <f>IF(ISBLANK(A892),"",VLOOKUP(J892,RELACIONES!$B$3:$E$83,4,FALSE)*E892)</f>
        <v/>
      </c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34" t="str">
        <f>IF(ISBLANK(A893),"",VLOOKUP(A893,RELACIONES!$G$3:$H$65,2,FALSE()))</f>
        <v/>
      </c>
      <c r="J893" s="35" t="str">
        <f>IF(ISBLANK(A893),"",VLOOKUP(C893,RELACIONES!$A$3:$B$70,2,FALSE))</f>
        <v/>
      </c>
      <c r="K893" s="35" t="str">
        <f>IF(ISBLANK(A893),"",VLOOKUP(J893,RELACIONES!$B$3:$E$83,4,FALSE)*E893)</f>
        <v/>
      </c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34" t="str">
        <f>IF(ISBLANK(A894),"",VLOOKUP(A894,RELACIONES!$G$3:$H$65,2,FALSE()))</f>
        <v/>
      </c>
      <c r="J894" s="35" t="str">
        <f>IF(ISBLANK(A894),"",VLOOKUP(C894,RELACIONES!$A$3:$B$70,2,FALSE))</f>
        <v/>
      </c>
      <c r="K894" s="35" t="str">
        <f>IF(ISBLANK(A894),"",VLOOKUP(J894,RELACIONES!$B$3:$E$83,4,FALSE)*E894)</f>
        <v/>
      </c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34" t="str">
        <f>IF(ISBLANK(A895),"",VLOOKUP(A895,RELACIONES!$G$3:$H$65,2,FALSE()))</f>
        <v/>
      </c>
      <c r="J895" s="35" t="str">
        <f>IF(ISBLANK(A895),"",VLOOKUP(C895,RELACIONES!$A$3:$B$70,2,FALSE))</f>
        <v/>
      </c>
      <c r="K895" s="35" t="str">
        <f>IF(ISBLANK(A895),"",VLOOKUP(J895,RELACIONES!$B$3:$E$83,4,FALSE)*E895)</f>
        <v/>
      </c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34" t="str">
        <f>IF(ISBLANK(A896),"",VLOOKUP(A896,RELACIONES!$G$3:$H$65,2,FALSE()))</f>
        <v/>
      </c>
      <c r="J896" s="35" t="str">
        <f>IF(ISBLANK(A896),"",VLOOKUP(C896,RELACIONES!$A$3:$B$70,2,FALSE))</f>
        <v/>
      </c>
      <c r="K896" s="35" t="str">
        <f>IF(ISBLANK(A896),"",VLOOKUP(J896,RELACIONES!$B$3:$E$83,4,FALSE)*E896)</f>
        <v/>
      </c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34" t="str">
        <f>IF(ISBLANK(A897),"",VLOOKUP(A897,RELACIONES!$G$3:$H$65,2,FALSE()))</f>
        <v/>
      </c>
      <c r="J897" s="35" t="str">
        <f>IF(ISBLANK(A897),"",VLOOKUP(C897,RELACIONES!$A$3:$B$70,2,FALSE))</f>
        <v/>
      </c>
      <c r="K897" s="35" t="str">
        <f>IF(ISBLANK(A897),"",VLOOKUP(J897,RELACIONES!$B$3:$E$83,4,FALSE)*E897)</f>
        <v/>
      </c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34" t="str">
        <f>IF(ISBLANK(A898),"",VLOOKUP(A898,RELACIONES!$G$3:$H$65,2,FALSE()))</f>
        <v/>
      </c>
      <c r="J898" s="35" t="str">
        <f>IF(ISBLANK(A898),"",VLOOKUP(C898,RELACIONES!$A$3:$B$70,2,FALSE))</f>
        <v/>
      </c>
      <c r="K898" s="35" t="str">
        <f>IF(ISBLANK(A898),"",VLOOKUP(J898,RELACIONES!$B$3:$E$83,4,FALSE)*E898)</f>
        <v/>
      </c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34" t="str">
        <f>IF(ISBLANK(A899),"",VLOOKUP(A899,RELACIONES!$G$3:$H$65,2,FALSE()))</f>
        <v/>
      </c>
      <c r="J899" s="35" t="str">
        <f>IF(ISBLANK(A899),"",VLOOKUP(C899,RELACIONES!$A$3:$B$70,2,FALSE))</f>
        <v/>
      </c>
      <c r="K899" s="35" t="str">
        <f>IF(ISBLANK(A899),"",VLOOKUP(J899,RELACIONES!$B$3:$E$83,4,FALSE)*E899)</f>
        <v/>
      </c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34" t="str">
        <f>IF(ISBLANK(A900),"",VLOOKUP(A900,RELACIONES!$G$3:$H$65,2,FALSE()))</f>
        <v/>
      </c>
      <c r="J900" s="35" t="str">
        <f>IF(ISBLANK(A900),"",VLOOKUP(C900,RELACIONES!$A$3:$B$70,2,FALSE))</f>
        <v/>
      </c>
      <c r="K900" s="35" t="str">
        <f>IF(ISBLANK(A900),"",VLOOKUP(J900,RELACIONES!$B$3:$E$83,4,FALSE)*E900)</f>
        <v/>
      </c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34" t="str">
        <f>IF(ISBLANK(A901),"",VLOOKUP(A901,RELACIONES!$G$3:$H$65,2,FALSE()))</f>
        <v/>
      </c>
      <c r="J901" s="35" t="str">
        <f>IF(ISBLANK(A901),"",VLOOKUP(C901,RELACIONES!$A$3:$B$70,2,FALSE))</f>
        <v/>
      </c>
      <c r="K901" s="35" t="str">
        <f>IF(ISBLANK(A901),"",VLOOKUP(J901,RELACIONES!$B$3:$E$83,4,FALSE)*E901)</f>
        <v/>
      </c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34" t="str">
        <f>IF(ISBLANK(A902),"",VLOOKUP(A902,RELACIONES!$G$3:$H$65,2,FALSE()))</f>
        <v/>
      </c>
      <c r="J902" s="35" t="str">
        <f>IF(ISBLANK(A902),"",VLOOKUP(C902,RELACIONES!$A$3:$B$70,2,FALSE))</f>
        <v/>
      </c>
      <c r="K902" s="35" t="str">
        <f>IF(ISBLANK(A902),"",VLOOKUP(J902,RELACIONES!$B$3:$E$83,4,FALSE)*E902)</f>
        <v/>
      </c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34" t="str">
        <f>IF(ISBLANK(A903),"",VLOOKUP(A903,RELACIONES!$G$3:$H$65,2,FALSE()))</f>
        <v/>
      </c>
      <c r="J903" s="35" t="str">
        <f>IF(ISBLANK(A903),"",VLOOKUP(C903,RELACIONES!$A$3:$B$70,2,FALSE))</f>
        <v/>
      </c>
      <c r="K903" s="35" t="str">
        <f>IF(ISBLANK(A903),"",VLOOKUP(J903,RELACIONES!$B$3:$E$83,4,FALSE)*E903)</f>
        <v/>
      </c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34" t="str">
        <f>IF(ISBLANK(A904),"",VLOOKUP(A904,RELACIONES!$G$3:$H$65,2,FALSE()))</f>
        <v/>
      </c>
      <c r="J904" s="35" t="str">
        <f>IF(ISBLANK(A904),"",VLOOKUP(C904,RELACIONES!$A$3:$B$70,2,FALSE))</f>
        <v/>
      </c>
      <c r="K904" s="35" t="str">
        <f>IF(ISBLANK(A904),"",VLOOKUP(J904,RELACIONES!$B$3:$E$83,4,FALSE)*E904)</f>
        <v/>
      </c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34" t="str">
        <f>IF(ISBLANK(A905),"",VLOOKUP(A905,RELACIONES!$G$3:$H$65,2,FALSE()))</f>
        <v/>
      </c>
      <c r="J905" s="35" t="str">
        <f>IF(ISBLANK(A905),"",VLOOKUP(C905,RELACIONES!$A$3:$B$70,2,FALSE))</f>
        <v/>
      </c>
      <c r="K905" s="35" t="str">
        <f>IF(ISBLANK(A905),"",VLOOKUP(J905,RELACIONES!$B$3:$E$83,4,FALSE)*E905)</f>
        <v/>
      </c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34" t="str">
        <f>IF(ISBLANK(A906),"",VLOOKUP(A906,RELACIONES!$G$3:$H$65,2,FALSE()))</f>
        <v/>
      </c>
      <c r="J906" s="35" t="str">
        <f>IF(ISBLANK(A906),"",VLOOKUP(C906,RELACIONES!$A$3:$B$70,2,FALSE))</f>
        <v/>
      </c>
      <c r="K906" s="35" t="str">
        <f>IF(ISBLANK(A906),"",VLOOKUP(J906,RELACIONES!$B$3:$E$83,4,FALSE)*E906)</f>
        <v/>
      </c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34" t="str">
        <f>IF(ISBLANK(A907),"",VLOOKUP(A907,RELACIONES!$G$3:$H$65,2,FALSE()))</f>
        <v/>
      </c>
      <c r="J907" s="35" t="str">
        <f>IF(ISBLANK(A907),"",VLOOKUP(C907,RELACIONES!$A$3:$B$70,2,FALSE))</f>
        <v/>
      </c>
      <c r="K907" s="35" t="str">
        <f>IF(ISBLANK(A907),"",VLOOKUP(J907,RELACIONES!$B$3:$E$83,4,FALSE)*E907)</f>
        <v/>
      </c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34" t="str">
        <f>IF(ISBLANK(A908),"",VLOOKUP(A908,RELACIONES!$G$3:$H$65,2,FALSE()))</f>
        <v/>
      </c>
      <c r="J908" s="35" t="str">
        <f>IF(ISBLANK(A908),"",VLOOKUP(C908,RELACIONES!$A$3:$B$70,2,FALSE))</f>
        <v/>
      </c>
      <c r="K908" s="35" t="str">
        <f>IF(ISBLANK(A908),"",VLOOKUP(J908,RELACIONES!$B$3:$E$83,4,FALSE)*E908)</f>
        <v/>
      </c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34" t="str">
        <f>IF(ISBLANK(A909),"",VLOOKUP(A909,RELACIONES!$G$3:$H$65,2,FALSE()))</f>
        <v/>
      </c>
      <c r="J909" s="35" t="str">
        <f>IF(ISBLANK(A909),"",VLOOKUP(C909,RELACIONES!$A$3:$B$70,2,FALSE))</f>
        <v/>
      </c>
      <c r="K909" s="35" t="str">
        <f>IF(ISBLANK(A909),"",VLOOKUP(J909,RELACIONES!$B$3:$E$83,4,FALSE)*E909)</f>
        <v/>
      </c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34" t="str">
        <f>IF(ISBLANK(A910),"",VLOOKUP(A910,RELACIONES!$G$3:$H$65,2,FALSE()))</f>
        <v/>
      </c>
      <c r="J910" s="35" t="str">
        <f>IF(ISBLANK(A910),"",VLOOKUP(C910,RELACIONES!$A$3:$B$70,2,FALSE))</f>
        <v/>
      </c>
      <c r="K910" s="35" t="str">
        <f>IF(ISBLANK(A910),"",VLOOKUP(J910,RELACIONES!$B$3:$E$83,4,FALSE)*E910)</f>
        <v/>
      </c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34" t="str">
        <f>IF(ISBLANK(A911),"",VLOOKUP(A911,RELACIONES!$G$3:$H$65,2,FALSE()))</f>
        <v/>
      </c>
      <c r="J911" s="35" t="str">
        <f>IF(ISBLANK(A911),"",VLOOKUP(C911,RELACIONES!$A$3:$B$70,2,FALSE))</f>
        <v/>
      </c>
      <c r="K911" s="35" t="str">
        <f>IF(ISBLANK(A911),"",VLOOKUP(J911,RELACIONES!$B$3:$E$83,4,FALSE)*E911)</f>
        <v/>
      </c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34" t="str">
        <f>IF(ISBLANK(A912),"",VLOOKUP(A912,RELACIONES!$G$3:$H$65,2,FALSE()))</f>
        <v/>
      </c>
      <c r="J912" s="35" t="str">
        <f>IF(ISBLANK(A912),"",VLOOKUP(C912,RELACIONES!$A$3:$B$70,2,FALSE))</f>
        <v/>
      </c>
      <c r="K912" s="35" t="str">
        <f>IF(ISBLANK(A912),"",VLOOKUP(J912,RELACIONES!$B$3:$E$83,4,FALSE)*E912)</f>
        <v/>
      </c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34" t="str">
        <f>IF(ISBLANK(A913),"",VLOOKUP(A913,RELACIONES!$G$3:$H$65,2,FALSE()))</f>
        <v/>
      </c>
      <c r="J913" s="35" t="str">
        <f>IF(ISBLANK(A913),"",VLOOKUP(C913,RELACIONES!$A$3:$B$70,2,FALSE))</f>
        <v/>
      </c>
      <c r="K913" s="35" t="str">
        <f>IF(ISBLANK(A913),"",VLOOKUP(J913,RELACIONES!$B$3:$E$83,4,FALSE)*E913)</f>
        <v/>
      </c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34" t="str">
        <f>IF(ISBLANK(A914),"",VLOOKUP(A914,RELACIONES!$G$3:$H$65,2,FALSE()))</f>
        <v/>
      </c>
      <c r="J914" s="35" t="str">
        <f>IF(ISBLANK(A914),"",VLOOKUP(C914,RELACIONES!$A$3:$B$70,2,FALSE))</f>
        <v/>
      </c>
      <c r="K914" s="35" t="str">
        <f>IF(ISBLANK(A914),"",VLOOKUP(J914,RELACIONES!$B$3:$E$83,4,FALSE)*E914)</f>
        <v/>
      </c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34" t="str">
        <f>IF(ISBLANK(A915),"",VLOOKUP(A915,RELACIONES!$G$3:$H$65,2,FALSE()))</f>
        <v/>
      </c>
      <c r="J915" s="35" t="str">
        <f>IF(ISBLANK(A915),"",VLOOKUP(C915,RELACIONES!$A$3:$B$70,2,FALSE))</f>
        <v/>
      </c>
      <c r="K915" s="35" t="str">
        <f>IF(ISBLANK(A915),"",VLOOKUP(J915,RELACIONES!$B$3:$E$83,4,FALSE)*E915)</f>
        <v/>
      </c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34" t="str">
        <f>IF(ISBLANK(A916),"",VLOOKUP(A916,RELACIONES!$G$3:$H$65,2,FALSE()))</f>
        <v/>
      </c>
      <c r="J916" s="35" t="str">
        <f>IF(ISBLANK(A916),"",VLOOKUP(C916,RELACIONES!$A$3:$B$70,2,FALSE))</f>
        <v/>
      </c>
      <c r="K916" s="35" t="str">
        <f>IF(ISBLANK(A916),"",VLOOKUP(J916,RELACIONES!$B$3:$E$83,4,FALSE)*E916)</f>
        <v/>
      </c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34" t="str">
        <f>IF(ISBLANK(A917),"",VLOOKUP(A917,RELACIONES!$G$3:$H$65,2,FALSE()))</f>
        <v/>
      </c>
      <c r="J917" s="35" t="str">
        <f>IF(ISBLANK(A917),"",VLOOKUP(C917,RELACIONES!$A$3:$B$70,2,FALSE))</f>
        <v/>
      </c>
      <c r="K917" s="35" t="str">
        <f>IF(ISBLANK(A917),"",VLOOKUP(J917,RELACIONES!$B$3:$E$83,4,FALSE)*E917)</f>
        <v/>
      </c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34" t="str">
        <f>IF(ISBLANK(A918),"",VLOOKUP(A918,RELACIONES!$G$3:$H$65,2,FALSE()))</f>
        <v/>
      </c>
      <c r="J918" s="35" t="str">
        <f>IF(ISBLANK(A918),"",VLOOKUP(C918,RELACIONES!$A$3:$B$70,2,FALSE))</f>
        <v/>
      </c>
      <c r="K918" s="35" t="str">
        <f>IF(ISBLANK(A918),"",VLOOKUP(J918,RELACIONES!$B$3:$E$83,4,FALSE)*E918)</f>
        <v/>
      </c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34" t="str">
        <f>IF(ISBLANK(A919),"",VLOOKUP(A919,RELACIONES!$G$3:$H$65,2,FALSE()))</f>
        <v/>
      </c>
      <c r="J919" s="35" t="str">
        <f>IF(ISBLANK(A919),"",VLOOKUP(C919,RELACIONES!$A$3:$B$70,2,FALSE))</f>
        <v/>
      </c>
      <c r="K919" s="35" t="str">
        <f>IF(ISBLANK(A919),"",VLOOKUP(J919,RELACIONES!$B$3:$E$83,4,FALSE)*E919)</f>
        <v/>
      </c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34" t="str">
        <f>IF(ISBLANK(A920),"",VLOOKUP(A920,RELACIONES!$G$3:$H$65,2,FALSE()))</f>
        <v/>
      </c>
      <c r="J920" s="35" t="str">
        <f>IF(ISBLANK(A920),"",VLOOKUP(C920,RELACIONES!$A$3:$B$70,2,FALSE))</f>
        <v/>
      </c>
      <c r="K920" s="35" t="str">
        <f>IF(ISBLANK(A920),"",VLOOKUP(J920,RELACIONES!$B$3:$E$83,4,FALSE)*E920)</f>
        <v/>
      </c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34" t="str">
        <f>IF(ISBLANK(A921),"",VLOOKUP(A921,RELACIONES!$G$3:$H$65,2,FALSE()))</f>
        <v/>
      </c>
      <c r="J921" s="35" t="str">
        <f>IF(ISBLANK(A921),"",VLOOKUP(C921,RELACIONES!$A$3:$B$70,2,FALSE))</f>
        <v/>
      </c>
      <c r="K921" s="35" t="str">
        <f>IF(ISBLANK(A921),"",VLOOKUP(J921,RELACIONES!$B$3:$E$83,4,FALSE)*E921)</f>
        <v/>
      </c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34" t="str">
        <f>IF(ISBLANK(A922),"",VLOOKUP(A922,RELACIONES!$G$3:$H$65,2,FALSE()))</f>
        <v/>
      </c>
      <c r="J922" s="35" t="str">
        <f>IF(ISBLANK(A922),"",VLOOKUP(C922,RELACIONES!$A$3:$B$70,2,FALSE))</f>
        <v/>
      </c>
      <c r="K922" s="35" t="str">
        <f>IF(ISBLANK(A922),"",VLOOKUP(J922,RELACIONES!$B$3:$E$83,4,FALSE)*E922)</f>
        <v/>
      </c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34" t="str">
        <f>IF(ISBLANK(A923),"",VLOOKUP(A923,RELACIONES!$G$3:$H$65,2,FALSE()))</f>
        <v/>
      </c>
      <c r="J923" s="35" t="str">
        <f>IF(ISBLANK(A923),"",VLOOKUP(C923,RELACIONES!$A$3:$B$70,2,FALSE))</f>
        <v/>
      </c>
      <c r="K923" s="35" t="str">
        <f>IF(ISBLANK(A923),"",VLOOKUP(J923,RELACIONES!$B$3:$E$83,4,FALSE)*E923)</f>
        <v/>
      </c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34" t="str">
        <f>IF(ISBLANK(A924),"",VLOOKUP(A924,RELACIONES!$G$3:$H$65,2,FALSE()))</f>
        <v/>
      </c>
      <c r="J924" s="35" t="str">
        <f>IF(ISBLANK(A924),"",VLOOKUP(C924,RELACIONES!$A$3:$B$70,2,FALSE))</f>
        <v/>
      </c>
      <c r="K924" s="35" t="str">
        <f>IF(ISBLANK(A924),"",VLOOKUP(J924,RELACIONES!$B$3:$E$83,4,FALSE)*E924)</f>
        <v/>
      </c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34" t="str">
        <f>IF(ISBLANK(A925),"",VLOOKUP(A925,RELACIONES!$G$3:$H$65,2,FALSE()))</f>
        <v/>
      </c>
      <c r="J925" s="35" t="str">
        <f>IF(ISBLANK(A925),"",VLOOKUP(C925,RELACIONES!$A$3:$B$70,2,FALSE))</f>
        <v/>
      </c>
      <c r="K925" s="35" t="str">
        <f>IF(ISBLANK(A925),"",VLOOKUP(J925,RELACIONES!$B$3:$E$83,4,FALSE)*E925)</f>
        <v/>
      </c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34" t="str">
        <f>IF(ISBLANK(A926),"",VLOOKUP(A926,RELACIONES!$G$3:$H$65,2,FALSE()))</f>
        <v/>
      </c>
      <c r="J926" s="35" t="str">
        <f>IF(ISBLANK(A926),"",VLOOKUP(C926,RELACIONES!$A$3:$B$70,2,FALSE))</f>
        <v/>
      </c>
      <c r="K926" s="35" t="str">
        <f>IF(ISBLANK(A926),"",VLOOKUP(J926,RELACIONES!$B$3:$E$83,4,FALSE)*E926)</f>
        <v/>
      </c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34" t="str">
        <f>IF(ISBLANK(A927),"",VLOOKUP(A927,RELACIONES!$G$3:$H$65,2,FALSE()))</f>
        <v/>
      </c>
      <c r="J927" s="35" t="str">
        <f>IF(ISBLANK(A927),"",VLOOKUP(C927,RELACIONES!$A$3:$B$70,2,FALSE))</f>
        <v/>
      </c>
      <c r="K927" s="35" t="str">
        <f>IF(ISBLANK(A927),"",VLOOKUP(J927,RELACIONES!$B$3:$E$83,4,FALSE)*E927)</f>
        <v/>
      </c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34" t="str">
        <f>IF(ISBLANK(A928),"",VLOOKUP(A928,RELACIONES!$G$3:$H$65,2,FALSE()))</f>
        <v/>
      </c>
      <c r="J928" s="35" t="str">
        <f>IF(ISBLANK(A928),"",VLOOKUP(C928,RELACIONES!$A$3:$B$70,2,FALSE))</f>
        <v/>
      </c>
      <c r="K928" s="35" t="str">
        <f>IF(ISBLANK(A928),"",VLOOKUP(J928,RELACIONES!$B$3:$E$83,4,FALSE)*E928)</f>
        <v/>
      </c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34" t="str">
        <f>IF(ISBLANK(A929),"",VLOOKUP(A929,RELACIONES!$G$3:$H$65,2,FALSE()))</f>
        <v/>
      </c>
      <c r="J929" s="35" t="str">
        <f>IF(ISBLANK(A929),"",VLOOKUP(C929,RELACIONES!$A$3:$B$70,2,FALSE))</f>
        <v/>
      </c>
      <c r="K929" s="35" t="str">
        <f>IF(ISBLANK(A929),"",VLOOKUP(J929,RELACIONES!$B$3:$E$83,4,FALSE)*E929)</f>
        <v/>
      </c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34" t="str">
        <f>IF(ISBLANK(A930),"",VLOOKUP(A930,RELACIONES!$G$3:$H$65,2,FALSE()))</f>
        <v/>
      </c>
      <c r="J930" s="35" t="str">
        <f>IF(ISBLANK(A930),"",VLOOKUP(C930,RELACIONES!$A$3:$B$70,2,FALSE))</f>
        <v/>
      </c>
      <c r="K930" s="35" t="str">
        <f>IF(ISBLANK(A930),"",VLOOKUP(J930,RELACIONES!$B$3:$E$83,4,FALSE)*E930)</f>
        <v/>
      </c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34" t="str">
        <f>IF(ISBLANK(A931),"",VLOOKUP(A931,RELACIONES!$G$3:$H$65,2,FALSE()))</f>
        <v/>
      </c>
      <c r="J931" s="35" t="str">
        <f>IF(ISBLANK(A931),"",VLOOKUP(C931,RELACIONES!$A$3:$B$70,2,FALSE))</f>
        <v/>
      </c>
      <c r="K931" s="35" t="str">
        <f>IF(ISBLANK(A931),"",VLOOKUP(J931,RELACIONES!$B$3:$E$83,4,FALSE)*E931)</f>
        <v/>
      </c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34" t="str">
        <f>IF(ISBLANK(A932),"",VLOOKUP(A932,RELACIONES!$G$3:$H$65,2,FALSE()))</f>
        <v/>
      </c>
      <c r="J932" s="35" t="str">
        <f>IF(ISBLANK(A932),"",VLOOKUP(C932,RELACIONES!$A$3:$B$70,2,FALSE))</f>
        <v/>
      </c>
      <c r="K932" s="35" t="str">
        <f>IF(ISBLANK(A932),"",VLOOKUP(J932,RELACIONES!$B$3:$E$83,4,FALSE)*E932)</f>
        <v/>
      </c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34" t="str">
        <f>IF(ISBLANK(A933),"",VLOOKUP(A933,RELACIONES!$G$3:$H$65,2,FALSE()))</f>
        <v/>
      </c>
      <c r="J933" s="35" t="str">
        <f>IF(ISBLANK(A933),"",VLOOKUP(C933,RELACIONES!$A$3:$B$70,2,FALSE))</f>
        <v/>
      </c>
      <c r="K933" s="35" t="str">
        <f>IF(ISBLANK(A933),"",VLOOKUP(J933,RELACIONES!$B$3:$E$83,4,FALSE)*E933)</f>
        <v/>
      </c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34" t="str">
        <f>IF(ISBLANK(A934),"",VLOOKUP(A934,RELACIONES!$G$3:$H$65,2,FALSE()))</f>
        <v/>
      </c>
      <c r="J934" s="35" t="str">
        <f>IF(ISBLANK(A934),"",VLOOKUP(C934,RELACIONES!$A$3:$B$70,2,FALSE))</f>
        <v/>
      </c>
      <c r="K934" s="35" t="str">
        <f>IF(ISBLANK(A934),"",VLOOKUP(J934,RELACIONES!$B$3:$E$83,4,FALSE)*E934)</f>
        <v/>
      </c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34" t="str">
        <f>IF(ISBLANK(A935),"",VLOOKUP(A935,RELACIONES!$G$3:$H$65,2,FALSE()))</f>
        <v/>
      </c>
      <c r="J935" s="35" t="str">
        <f>IF(ISBLANK(A935),"",VLOOKUP(C935,RELACIONES!$A$3:$B$70,2,FALSE))</f>
        <v/>
      </c>
      <c r="K935" s="35" t="str">
        <f>IF(ISBLANK(A935),"",VLOOKUP(J935,RELACIONES!$B$3:$E$83,4,FALSE)*E935)</f>
        <v/>
      </c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34" t="str">
        <f>IF(ISBLANK(A936),"",VLOOKUP(A936,RELACIONES!$G$3:$H$65,2,FALSE()))</f>
        <v/>
      </c>
      <c r="J936" s="35" t="str">
        <f>IF(ISBLANK(A936),"",VLOOKUP(C936,RELACIONES!$A$3:$B$70,2,FALSE))</f>
        <v/>
      </c>
      <c r="K936" s="35" t="str">
        <f>IF(ISBLANK(A936),"",VLOOKUP(J936,RELACIONES!$B$3:$E$83,4,FALSE)*E936)</f>
        <v/>
      </c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34" t="str">
        <f>IF(ISBLANK(A937),"",VLOOKUP(A937,RELACIONES!$G$3:$H$65,2,FALSE()))</f>
        <v/>
      </c>
      <c r="J937" s="35" t="str">
        <f>IF(ISBLANK(A937),"",VLOOKUP(C937,RELACIONES!$A$3:$B$70,2,FALSE))</f>
        <v/>
      </c>
      <c r="K937" s="35" t="str">
        <f>IF(ISBLANK(A937),"",VLOOKUP(J937,RELACIONES!$B$3:$E$83,4,FALSE)*E937)</f>
        <v/>
      </c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34" t="str">
        <f>IF(ISBLANK(A938),"",VLOOKUP(A938,RELACIONES!$G$3:$H$65,2,FALSE()))</f>
        <v/>
      </c>
      <c r="J938" s="35" t="str">
        <f>IF(ISBLANK(A938),"",VLOOKUP(C938,RELACIONES!$A$3:$B$70,2,FALSE))</f>
        <v/>
      </c>
      <c r="K938" s="35" t="str">
        <f>IF(ISBLANK(A938),"",VLOOKUP(J938,RELACIONES!$B$3:$E$83,4,FALSE)*E938)</f>
        <v/>
      </c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34" t="str">
        <f>IF(ISBLANK(A939),"",VLOOKUP(A939,RELACIONES!$G$3:$H$65,2,FALSE()))</f>
        <v/>
      </c>
      <c r="J939" s="35" t="str">
        <f>IF(ISBLANK(A939),"",VLOOKUP(C939,RELACIONES!$A$3:$B$70,2,FALSE))</f>
        <v/>
      </c>
      <c r="K939" s="35" t="str">
        <f>IF(ISBLANK(A939),"",VLOOKUP(J939,RELACIONES!$B$3:$E$83,4,FALSE)*E939)</f>
        <v/>
      </c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34" t="str">
        <f>IF(ISBLANK(A940),"",VLOOKUP(A940,RELACIONES!$G$3:$H$65,2,FALSE()))</f>
        <v/>
      </c>
      <c r="J940" s="35" t="str">
        <f>IF(ISBLANK(A940),"",VLOOKUP(C940,RELACIONES!$A$3:$B$70,2,FALSE))</f>
        <v/>
      </c>
      <c r="K940" s="35" t="str">
        <f>IF(ISBLANK(A940),"",VLOOKUP(J940,RELACIONES!$B$3:$E$83,4,FALSE)*E940)</f>
        <v/>
      </c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34" t="str">
        <f>IF(ISBLANK(A941),"",VLOOKUP(A941,RELACIONES!$G$3:$H$65,2,FALSE()))</f>
        <v/>
      </c>
      <c r="J941" s="35" t="str">
        <f>IF(ISBLANK(A941),"",VLOOKUP(C941,RELACIONES!$A$3:$B$70,2,FALSE))</f>
        <v/>
      </c>
      <c r="K941" s="35" t="str">
        <f>IF(ISBLANK(A941),"",VLOOKUP(J941,RELACIONES!$B$3:$E$83,4,FALSE)*E941)</f>
        <v/>
      </c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34" t="str">
        <f>IF(ISBLANK(A942),"",VLOOKUP(A942,RELACIONES!$G$3:$H$65,2,FALSE()))</f>
        <v/>
      </c>
      <c r="J942" s="35" t="str">
        <f>IF(ISBLANK(A942),"",VLOOKUP(C942,RELACIONES!$A$3:$B$70,2,FALSE))</f>
        <v/>
      </c>
      <c r="K942" s="35" t="str">
        <f>IF(ISBLANK(A942),"",VLOOKUP(J942,RELACIONES!$B$3:$E$83,4,FALSE)*E942)</f>
        <v/>
      </c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34" t="str">
        <f>IF(ISBLANK(A943),"",VLOOKUP(A943,RELACIONES!$G$3:$H$65,2,FALSE()))</f>
        <v/>
      </c>
      <c r="J943" s="35" t="str">
        <f>IF(ISBLANK(A943),"",VLOOKUP(C943,RELACIONES!$A$3:$B$70,2,FALSE))</f>
        <v/>
      </c>
      <c r="K943" s="35" t="str">
        <f>IF(ISBLANK(A943),"",VLOOKUP(J943,RELACIONES!$B$3:$E$83,4,FALSE)*E943)</f>
        <v/>
      </c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34" t="str">
        <f>IF(ISBLANK(A944),"",VLOOKUP(A944,RELACIONES!$G$3:$H$65,2,FALSE()))</f>
        <v/>
      </c>
      <c r="J944" s="35" t="str">
        <f>IF(ISBLANK(A944),"",VLOOKUP(C944,RELACIONES!$A$3:$B$70,2,FALSE))</f>
        <v/>
      </c>
      <c r="K944" s="35" t="str">
        <f>IF(ISBLANK(A944),"",VLOOKUP(J944,RELACIONES!$B$3:$E$83,4,FALSE)*E944)</f>
        <v/>
      </c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34" t="str">
        <f>IF(ISBLANK(A945),"",VLOOKUP(A945,RELACIONES!$G$3:$H$65,2,FALSE()))</f>
        <v/>
      </c>
      <c r="J945" s="35" t="str">
        <f>IF(ISBLANK(A945),"",VLOOKUP(C945,RELACIONES!$A$3:$B$70,2,FALSE))</f>
        <v/>
      </c>
      <c r="K945" s="35" t="str">
        <f>IF(ISBLANK(A945),"",VLOOKUP(J945,RELACIONES!$B$3:$E$83,4,FALSE)*E945)</f>
        <v/>
      </c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34" t="str">
        <f>IF(ISBLANK(A946),"",VLOOKUP(A946,RELACIONES!$G$3:$H$65,2,FALSE()))</f>
        <v/>
      </c>
      <c r="J946" s="35" t="str">
        <f>IF(ISBLANK(A946),"",VLOOKUP(C946,RELACIONES!$A$3:$B$70,2,FALSE))</f>
        <v/>
      </c>
      <c r="K946" s="35" t="str">
        <f>IF(ISBLANK(A946),"",VLOOKUP(J946,RELACIONES!$B$3:$E$83,4,FALSE)*E946)</f>
        <v/>
      </c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34" t="str">
        <f>IF(ISBLANK(A947),"",VLOOKUP(A947,RELACIONES!$G$3:$H$65,2,FALSE()))</f>
        <v/>
      </c>
      <c r="J947" s="35" t="str">
        <f>IF(ISBLANK(A947),"",VLOOKUP(C947,RELACIONES!$A$3:$B$70,2,FALSE))</f>
        <v/>
      </c>
      <c r="K947" s="35" t="str">
        <f>IF(ISBLANK(A947),"",VLOOKUP(J947,RELACIONES!$B$3:$E$83,4,FALSE)*E947)</f>
        <v/>
      </c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34" t="str">
        <f>IF(ISBLANK(A948),"",VLOOKUP(A948,RELACIONES!$G$3:$H$65,2,FALSE()))</f>
        <v/>
      </c>
      <c r="J948" s="35" t="str">
        <f>IF(ISBLANK(A948),"",VLOOKUP(C948,RELACIONES!$A$3:$B$70,2,FALSE))</f>
        <v/>
      </c>
      <c r="K948" s="35" t="str">
        <f>IF(ISBLANK(A948),"",VLOOKUP(J948,RELACIONES!$B$3:$E$83,4,FALSE)*E948)</f>
        <v/>
      </c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34" t="str">
        <f>IF(ISBLANK(A949),"",VLOOKUP(A949,RELACIONES!$G$3:$H$65,2,FALSE()))</f>
        <v/>
      </c>
      <c r="J949" s="35" t="str">
        <f>IF(ISBLANK(A949),"",VLOOKUP(C949,RELACIONES!$A$3:$B$70,2,FALSE))</f>
        <v/>
      </c>
      <c r="K949" s="35" t="str">
        <f>IF(ISBLANK(A949),"",VLOOKUP(J949,RELACIONES!$B$3:$E$83,4,FALSE)*E949)</f>
        <v/>
      </c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34" t="str">
        <f>IF(ISBLANK(A950),"",VLOOKUP(A950,RELACIONES!$G$3:$H$65,2,FALSE()))</f>
        <v/>
      </c>
      <c r="J950" s="35" t="str">
        <f>IF(ISBLANK(A950),"",VLOOKUP(C950,RELACIONES!$A$3:$B$70,2,FALSE))</f>
        <v/>
      </c>
      <c r="K950" s="35" t="str">
        <f>IF(ISBLANK(A950),"",VLOOKUP(J950,RELACIONES!$B$3:$E$83,4,FALSE)*E950)</f>
        <v/>
      </c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34" t="str">
        <f>IF(ISBLANK(A951),"",VLOOKUP(A951,RELACIONES!$G$3:$H$65,2,FALSE()))</f>
        <v/>
      </c>
      <c r="J951" s="35" t="str">
        <f>IF(ISBLANK(A951),"",VLOOKUP(C951,RELACIONES!$A$3:$B$70,2,FALSE))</f>
        <v/>
      </c>
      <c r="K951" s="35" t="str">
        <f>IF(ISBLANK(A951),"",VLOOKUP(J951,RELACIONES!$B$3:$E$83,4,FALSE)*E951)</f>
        <v/>
      </c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34" t="str">
        <f>IF(ISBLANK(A952),"",VLOOKUP(A952,RELACIONES!$G$3:$H$65,2,FALSE()))</f>
        <v/>
      </c>
      <c r="J952" s="35" t="str">
        <f>IF(ISBLANK(A952),"",VLOOKUP(C952,RELACIONES!$A$3:$B$70,2,FALSE))</f>
        <v/>
      </c>
      <c r="K952" s="35" t="str">
        <f>IF(ISBLANK(A952),"",VLOOKUP(J952,RELACIONES!$B$3:$E$83,4,FALSE)*E952)</f>
        <v/>
      </c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34" t="str">
        <f>IF(ISBLANK(A953),"",VLOOKUP(A953,RELACIONES!$G$3:$H$65,2,FALSE()))</f>
        <v/>
      </c>
      <c r="J953" s="35" t="str">
        <f>IF(ISBLANK(A953),"",VLOOKUP(C953,RELACIONES!$A$3:$B$70,2,FALSE))</f>
        <v/>
      </c>
      <c r="K953" s="35" t="str">
        <f>IF(ISBLANK(A953),"",VLOOKUP(J953,RELACIONES!$B$3:$E$83,4,FALSE)*E953)</f>
        <v/>
      </c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34" t="str">
        <f>IF(ISBLANK(A954),"",VLOOKUP(A954,RELACIONES!$G$3:$H$65,2,FALSE()))</f>
        <v/>
      </c>
      <c r="J954" s="35" t="str">
        <f>IF(ISBLANK(A954),"",VLOOKUP(C954,RELACIONES!$A$3:$B$70,2,FALSE))</f>
        <v/>
      </c>
      <c r="K954" s="35" t="str">
        <f>IF(ISBLANK(A954),"",VLOOKUP(J954,RELACIONES!$B$3:$E$83,4,FALSE)*E954)</f>
        <v/>
      </c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34" t="str">
        <f>IF(ISBLANK(A955),"",VLOOKUP(A955,RELACIONES!$G$3:$H$65,2,FALSE()))</f>
        <v/>
      </c>
      <c r="J955" s="35" t="str">
        <f>IF(ISBLANK(A955),"",VLOOKUP(C955,RELACIONES!$A$3:$B$70,2,FALSE))</f>
        <v/>
      </c>
      <c r="K955" s="35" t="str">
        <f>IF(ISBLANK(A955),"",VLOOKUP(J955,RELACIONES!$B$3:$E$83,4,FALSE)*E955)</f>
        <v/>
      </c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34" t="str">
        <f>IF(ISBLANK(A956),"",VLOOKUP(A956,RELACIONES!$G$3:$H$65,2,FALSE()))</f>
        <v/>
      </c>
      <c r="J956" s="35" t="str">
        <f>IF(ISBLANK(A956),"",VLOOKUP(C956,RELACIONES!$A$3:$B$70,2,FALSE))</f>
        <v/>
      </c>
      <c r="K956" s="35" t="str">
        <f>IF(ISBLANK(A956),"",VLOOKUP(J956,RELACIONES!$B$3:$E$83,4,FALSE)*E956)</f>
        <v/>
      </c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34" t="str">
        <f>IF(ISBLANK(A957),"",VLOOKUP(A957,RELACIONES!$G$3:$H$65,2,FALSE()))</f>
        <v/>
      </c>
      <c r="J957" s="35" t="str">
        <f>IF(ISBLANK(A957),"",VLOOKUP(C957,RELACIONES!$A$3:$B$70,2,FALSE))</f>
        <v/>
      </c>
      <c r="K957" s="35" t="str">
        <f>IF(ISBLANK(A957),"",VLOOKUP(J957,RELACIONES!$B$3:$E$83,4,FALSE)*E957)</f>
        <v/>
      </c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34" t="str">
        <f>IF(ISBLANK(A958),"",VLOOKUP(A958,RELACIONES!$G$3:$H$65,2,FALSE()))</f>
        <v/>
      </c>
      <c r="J958" s="35" t="str">
        <f>IF(ISBLANK(A958),"",VLOOKUP(C958,RELACIONES!$A$3:$B$70,2,FALSE))</f>
        <v/>
      </c>
      <c r="K958" s="35" t="str">
        <f>IF(ISBLANK(A958),"",VLOOKUP(J958,RELACIONES!$B$3:$E$83,4,FALSE)*E958)</f>
        <v/>
      </c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34" t="str">
        <f>IF(ISBLANK(A959),"",VLOOKUP(A959,RELACIONES!$G$3:$H$65,2,FALSE()))</f>
        <v/>
      </c>
      <c r="J959" s="35" t="str">
        <f>IF(ISBLANK(A959),"",VLOOKUP(C959,RELACIONES!$A$3:$B$70,2,FALSE))</f>
        <v/>
      </c>
      <c r="K959" s="35" t="str">
        <f>IF(ISBLANK(A959),"",VLOOKUP(J959,RELACIONES!$B$3:$E$83,4,FALSE)*E959)</f>
        <v/>
      </c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34" t="str">
        <f>IF(ISBLANK(A960),"",VLOOKUP(A960,RELACIONES!$G$3:$H$65,2,FALSE()))</f>
        <v/>
      </c>
      <c r="J960" s="35" t="str">
        <f>IF(ISBLANK(A960),"",VLOOKUP(C960,RELACIONES!$A$3:$B$70,2,FALSE))</f>
        <v/>
      </c>
      <c r="K960" s="35" t="str">
        <f>IF(ISBLANK(A960),"",VLOOKUP(J960,RELACIONES!$B$3:$E$83,4,FALSE)*E960)</f>
        <v/>
      </c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34" t="str">
        <f>IF(ISBLANK(A961),"",VLOOKUP(A961,RELACIONES!$G$3:$H$65,2,FALSE()))</f>
        <v/>
      </c>
      <c r="J961" s="35" t="str">
        <f>IF(ISBLANK(A961),"",VLOOKUP(C961,RELACIONES!$A$3:$B$70,2,FALSE))</f>
        <v/>
      </c>
      <c r="K961" s="35" t="str">
        <f>IF(ISBLANK(A961),"",VLOOKUP(J961,RELACIONES!$B$3:$E$83,4,FALSE)*E961)</f>
        <v/>
      </c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34" t="str">
        <f>IF(ISBLANK(A962),"",VLOOKUP(A962,RELACIONES!$G$3:$H$65,2,FALSE()))</f>
        <v/>
      </c>
      <c r="J962" s="35" t="str">
        <f>IF(ISBLANK(A962),"",VLOOKUP(C962,RELACIONES!$A$3:$B$70,2,FALSE))</f>
        <v/>
      </c>
      <c r="K962" s="35" t="str">
        <f>IF(ISBLANK(A962),"",VLOOKUP(J962,RELACIONES!$B$3:$E$83,4,FALSE)*E962)</f>
        <v/>
      </c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34" t="str">
        <f>IF(ISBLANK(A963),"",VLOOKUP(A963,RELACIONES!$G$3:$H$65,2,FALSE()))</f>
        <v/>
      </c>
      <c r="J963" s="35" t="str">
        <f>IF(ISBLANK(A963),"",VLOOKUP(C963,RELACIONES!$A$3:$B$70,2,FALSE))</f>
        <v/>
      </c>
      <c r="K963" s="35" t="str">
        <f>IF(ISBLANK(A963),"",VLOOKUP(J963,RELACIONES!$B$3:$E$83,4,FALSE)*E963)</f>
        <v/>
      </c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34" t="str">
        <f>IF(ISBLANK(A964),"",VLOOKUP(A964,RELACIONES!$G$3:$H$65,2,FALSE()))</f>
        <v/>
      </c>
      <c r="J964" s="35" t="str">
        <f>IF(ISBLANK(A964),"",VLOOKUP(C964,RELACIONES!$A$3:$B$70,2,FALSE))</f>
        <v/>
      </c>
      <c r="K964" s="35" t="str">
        <f>IF(ISBLANK(A964),"",VLOOKUP(J964,RELACIONES!$B$3:$E$83,4,FALSE)*E964)</f>
        <v/>
      </c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34" t="str">
        <f>IF(ISBLANK(A965),"",VLOOKUP(A965,RELACIONES!$G$3:$H$65,2,FALSE()))</f>
        <v/>
      </c>
      <c r="J965" s="35" t="str">
        <f>IF(ISBLANK(A965),"",VLOOKUP(C965,RELACIONES!$A$3:$B$70,2,FALSE))</f>
        <v/>
      </c>
      <c r="K965" s="35" t="str">
        <f>IF(ISBLANK(A965),"",VLOOKUP(J965,RELACIONES!$B$3:$E$83,4,FALSE)*E965)</f>
        <v/>
      </c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34" t="str">
        <f>IF(ISBLANK(A966),"",VLOOKUP(A966,RELACIONES!$G$3:$H$65,2,FALSE()))</f>
        <v/>
      </c>
      <c r="J966" s="35" t="str">
        <f>IF(ISBLANK(A966),"",VLOOKUP(C966,RELACIONES!$A$3:$B$70,2,FALSE))</f>
        <v/>
      </c>
      <c r="K966" s="35" t="str">
        <f>IF(ISBLANK(A966),"",VLOOKUP(J966,RELACIONES!$B$3:$E$83,4,FALSE)*E966)</f>
        <v/>
      </c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34" t="str">
        <f>IF(ISBLANK(A967),"",VLOOKUP(A967,RELACIONES!$G$3:$H$65,2,FALSE()))</f>
        <v/>
      </c>
      <c r="J967" s="35" t="str">
        <f>IF(ISBLANK(A967),"",VLOOKUP(C967,RELACIONES!$A$3:$B$70,2,FALSE))</f>
        <v/>
      </c>
      <c r="K967" s="35" t="str">
        <f>IF(ISBLANK(A967),"",VLOOKUP(J967,RELACIONES!$B$3:$E$83,4,FALSE)*E967)</f>
        <v/>
      </c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34" t="str">
        <f>IF(ISBLANK(A968),"",VLOOKUP(A968,RELACIONES!$G$3:$H$65,2,FALSE()))</f>
        <v/>
      </c>
      <c r="J968" s="35" t="str">
        <f>IF(ISBLANK(A968),"",VLOOKUP(C968,RELACIONES!$A$3:$B$70,2,FALSE))</f>
        <v/>
      </c>
      <c r="K968" s="35" t="str">
        <f>IF(ISBLANK(A968),"",VLOOKUP(J968,RELACIONES!$B$3:$E$83,4,FALSE)*E968)</f>
        <v/>
      </c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34" t="str">
        <f>IF(ISBLANK(A969),"",VLOOKUP(A969,RELACIONES!$G$3:$H$65,2,FALSE()))</f>
        <v/>
      </c>
      <c r="J969" s="35" t="str">
        <f>IF(ISBLANK(A969),"",VLOOKUP(C969,RELACIONES!$A$3:$B$70,2,FALSE))</f>
        <v/>
      </c>
      <c r="K969" s="35" t="str">
        <f>IF(ISBLANK(A969),"",VLOOKUP(J969,RELACIONES!$B$3:$E$83,4,FALSE)*E969)</f>
        <v/>
      </c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34" t="str">
        <f>IF(ISBLANK(A970),"",VLOOKUP(A970,RELACIONES!$G$3:$H$65,2,FALSE()))</f>
        <v/>
      </c>
      <c r="J970" s="35" t="str">
        <f>IF(ISBLANK(A970),"",VLOOKUP(C970,RELACIONES!$A$3:$B$70,2,FALSE))</f>
        <v/>
      </c>
      <c r="K970" s="35" t="str">
        <f>IF(ISBLANK(A970),"",VLOOKUP(J970,RELACIONES!$B$3:$E$83,4,FALSE)*E970)</f>
        <v/>
      </c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34" t="str">
        <f>IF(ISBLANK(A971),"",VLOOKUP(A971,RELACIONES!$G$3:$H$65,2,FALSE()))</f>
        <v/>
      </c>
      <c r="J971" s="35" t="str">
        <f>IF(ISBLANK(A971),"",VLOOKUP(C971,RELACIONES!$A$3:$B$70,2,FALSE))</f>
        <v/>
      </c>
      <c r="K971" s="35" t="str">
        <f>IF(ISBLANK(A971),"",VLOOKUP(J971,RELACIONES!$B$3:$E$83,4,FALSE)*E971)</f>
        <v/>
      </c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34" t="str">
        <f>IF(ISBLANK(A972),"",VLOOKUP(A972,RELACIONES!$G$3:$H$65,2,FALSE()))</f>
        <v/>
      </c>
      <c r="J972" s="35" t="str">
        <f>IF(ISBLANK(A972),"",VLOOKUP(C972,RELACIONES!$A$3:$B$70,2,FALSE))</f>
        <v/>
      </c>
      <c r="K972" s="35" t="str">
        <f>IF(ISBLANK(A972),"",VLOOKUP(J972,RELACIONES!$B$3:$E$83,4,FALSE)*E972)</f>
        <v/>
      </c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34" t="str">
        <f>IF(ISBLANK(A973),"",VLOOKUP(A973,RELACIONES!$G$3:$H$65,2,FALSE()))</f>
        <v/>
      </c>
      <c r="J973" s="35" t="str">
        <f>IF(ISBLANK(A973),"",VLOOKUP(C973,RELACIONES!$A$3:$B$70,2,FALSE))</f>
        <v/>
      </c>
      <c r="K973" s="35" t="str">
        <f>IF(ISBLANK(A973),"",VLOOKUP(J973,RELACIONES!$B$3:$E$83,4,FALSE)*E973)</f>
        <v/>
      </c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34" t="str">
        <f>IF(ISBLANK(A974),"",VLOOKUP(A974,RELACIONES!$G$3:$H$65,2,FALSE()))</f>
        <v/>
      </c>
      <c r="J974" s="35" t="str">
        <f>IF(ISBLANK(A974),"",VLOOKUP(C974,RELACIONES!$A$3:$B$70,2,FALSE))</f>
        <v/>
      </c>
      <c r="K974" s="35" t="str">
        <f>IF(ISBLANK(A974),"",VLOOKUP(J974,RELACIONES!$B$3:$E$83,4,FALSE)*E974)</f>
        <v/>
      </c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34" t="str">
        <f>IF(ISBLANK(A975),"",VLOOKUP(A975,RELACIONES!$G$3:$H$65,2,FALSE()))</f>
        <v/>
      </c>
      <c r="J975" s="35" t="str">
        <f>IF(ISBLANK(A975),"",VLOOKUP(C975,RELACIONES!$A$3:$B$70,2,FALSE))</f>
        <v/>
      </c>
      <c r="K975" s="35" t="str">
        <f>IF(ISBLANK(A975),"",VLOOKUP(J975,RELACIONES!$B$3:$E$83,4,FALSE)*E975)</f>
        <v/>
      </c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34" t="str">
        <f>IF(ISBLANK(A976),"",VLOOKUP(A976,RELACIONES!$G$3:$H$65,2,FALSE()))</f>
        <v/>
      </c>
      <c r="J976" s="35" t="str">
        <f>IF(ISBLANK(A976),"",VLOOKUP(C976,RELACIONES!$A$3:$B$70,2,FALSE))</f>
        <v/>
      </c>
      <c r="K976" s="35" t="str">
        <f>IF(ISBLANK(A976),"",VLOOKUP(J976,RELACIONES!$B$3:$E$83,4,FALSE)*E976)</f>
        <v/>
      </c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34" t="str">
        <f>IF(ISBLANK(A977),"",VLOOKUP(A977,RELACIONES!$G$3:$H$65,2,FALSE()))</f>
        <v/>
      </c>
      <c r="J977" s="35" t="str">
        <f>IF(ISBLANK(A977),"",VLOOKUP(C977,RELACIONES!$A$3:$B$70,2,FALSE))</f>
        <v/>
      </c>
      <c r="K977" s="35" t="str">
        <f>IF(ISBLANK(A977),"",VLOOKUP(J977,RELACIONES!$B$3:$E$83,4,FALSE)*E977)</f>
        <v/>
      </c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34" t="str">
        <f>IF(ISBLANK(A978),"",VLOOKUP(A978,RELACIONES!$G$3:$H$65,2,FALSE()))</f>
        <v/>
      </c>
      <c r="J978" s="35" t="str">
        <f>IF(ISBLANK(A978),"",VLOOKUP(C978,RELACIONES!$A$3:$B$70,2,FALSE))</f>
        <v/>
      </c>
      <c r="K978" s="35" t="str">
        <f>IF(ISBLANK(A978),"",VLOOKUP(J978,RELACIONES!$B$3:$E$83,4,FALSE)*E978)</f>
        <v/>
      </c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34" t="str">
        <f>IF(ISBLANK(A979),"",VLOOKUP(A979,RELACIONES!$G$3:$H$65,2,FALSE()))</f>
        <v/>
      </c>
      <c r="J979" s="35" t="str">
        <f>IF(ISBLANK(A979),"",VLOOKUP(C979,RELACIONES!$A$3:$B$70,2,FALSE))</f>
        <v/>
      </c>
      <c r="K979" s="35" t="str">
        <f>IF(ISBLANK(A979),"",VLOOKUP(J979,RELACIONES!$B$3:$E$83,4,FALSE)*E979)</f>
        <v/>
      </c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34" t="str">
        <f>IF(ISBLANK(A980),"",VLOOKUP(A980,RELACIONES!$G$3:$H$65,2,FALSE()))</f>
        <v/>
      </c>
      <c r="J980" s="35" t="str">
        <f>IF(ISBLANK(A980),"",VLOOKUP(C980,RELACIONES!$A$3:$B$70,2,FALSE))</f>
        <v/>
      </c>
      <c r="K980" s="35" t="str">
        <f>IF(ISBLANK(A980),"",VLOOKUP(J980,RELACIONES!$B$3:$E$83,4,FALSE)*E980)</f>
        <v/>
      </c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34" t="str">
        <f>IF(ISBLANK(A981),"",VLOOKUP(A981,RELACIONES!$G$3:$H$65,2,FALSE()))</f>
        <v/>
      </c>
      <c r="J981" s="35" t="str">
        <f>IF(ISBLANK(A981),"",VLOOKUP(C981,RELACIONES!$A$3:$B$70,2,FALSE))</f>
        <v/>
      </c>
      <c r="K981" s="35" t="str">
        <f>IF(ISBLANK(A981),"",VLOOKUP(J981,RELACIONES!$B$3:$E$83,4,FALSE)*E981)</f>
        <v/>
      </c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34" t="str">
        <f>IF(ISBLANK(A982),"",VLOOKUP(A982,RELACIONES!$G$3:$H$65,2,FALSE()))</f>
        <v/>
      </c>
      <c r="J982" s="35" t="str">
        <f>IF(ISBLANK(A982),"",VLOOKUP(C982,RELACIONES!$A$3:$B$70,2,FALSE))</f>
        <v/>
      </c>
      <c r="K982" s="35" t="str">
        <f>IF(ISBLANK(A982),"",VLOOKUP(J982,RELACIONES!$B$3:$E$83,4,FALSE)*E982)</f>
        <v/>
      </c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34" t="str">
        <f>IF(ISBLANK(A983),"",VLOOKUP(A983,RELACIONES!$G$3:$H$65,2,FALSE()))</f>
        <v/>
      </c>
      <c r="J983" s="35" t="str">
        <f>IF(ISBLANK(A983),"",VLOOKUP(C983,RELACIONES!$A$3:$B$70,2,FALSE))</f>
        <v/>
      </c>
      <c r="K983" s="35" t="str">
        <f>IF(ISBLANK(A983),"",VLOOKUP(J983,RELACIONES!$B$3:$E$83,4,FALSE)*E983)</f>
        <v/>
      </c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34" t="str">
        <f>IF(ISBLANK(A984),"",VLOOKUP(A984,RELACIONES!$G$3:$H$65,2,FALSE()))</f>
        <v/>
      </c>
      <c r="J984" s="35" t="str">
        <f>IF(ISBLANK(A984),"",VLOOKUP(C984,RELACIONES!$A$3:$B$70,2,FALSE))</f>
        <v/>
      </c>
      <c r="K984" s="35" t="str">
        <f>IF(ISBLANK(A984),"",VLOOKUP(J984,RELACIONES!$B$3:$E$83,4,FALSE)*E984)</f>
        <v/>
      </c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34" t="str">
        <f>IF(ISBLANK(A985),"",VLOOKUP(A985,RELACIONES!$G$3:$H$65,2,FALSE()))</f>
        <v/>
      </c>
      <c r="J985" s="35" t="str">
        <f>IF(ISBLANK(A985),"",VLOOKUP(C985,RELACIONES!$A$3:$B$70,2,FALSE))</f>
        <v/>
      </c>
      <c r="K985" s="35" t="str">
        <f>IF(ISBLANK(A985),"",VLOOKUP(J985,RELACIONES!$B$3:$E$83,4,FALSE)*E985)</f>
        <v/>
      </c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34" t="str">
        <f>IF(ISBLANK(A986),"",VLOOKUP(A986,RELACIONES!$G$3:$H$65,2,FALSE()))</f>
        <v/>
      </c>
      <c r="J986" s="35" t="str">
        <f>IF(ISBLANK(A986),"",VLOOKUP(C986,RELACIONES!$A$3:$B$70,2,FALSE))</f>
        <v/>
      </c>
      <c r="K986" s="35" t="str">
        <f>IF(ISBLANK(A986),"",VLOOKUP(J986,RELACIONES!$B$3:$E$83,4,FALSE)*E986)</f>
        <v/>
      </c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34" t="str">
        <f>IF(ISBLANK(A987),"",VLOOKUP(A987,RELACIONES!$G$3:$H$65,2,FALSE()))</f>
        <v/>
      </c>
      <c r="J987" s="35" t="str">
        <f>IF(ISBLANK(A987),"",VLOOKUP(C987,RELACIONES!$A$3:$B$70,2,FALSE))</f>
        <v/>
      </c>
      <c r="K987" s="35" t="str">
        <f>IF(ISBLANK(A987),"",VLOOKUP(J987,RELACIONES!$B$3:$E$83,4,FALSE)*E987)</f>
        <v/>
      </c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34" t="str">
        <f>IF(ISBLANK(A988),"",VLOOKUP(A988,RELACIONES!$G$3:$H$65,2,FALSE()))</f>
        <v/>
      </c>
      <c r="J988" s="35" t="str">
        <f>IF(ISBLANK(A988),"",VLOOKUP(C988,RELACIONES!$A$3:$B$70,2,FALSE))</f>
        <v/>
      </c>
      <c r="K988" s="35" t="str">
        <f>IF(ISBLANK(A988),"",VLOOKUP(J988,RELACIONES!$B$3:$E$83,4,FALSE)*E988)</f>
        <v/>
      </c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34" t="str">
        <f>IF(ISBLANK(A989),"",VLOOKUP(A989,RELACIONES!$G$3:$H$65,2,FALSE()))</f>
        <v/>
      </c>
      <c r="J989" s="35" t="str">
        <f>IF(ISBLANK(A989),"",VLOOKUP(C989,RELACIONES!$A$3:$B$70,2,FALSE))</f>
        <v/>
      </c>
      <c r="K989" s="35" t="str">
        <f>IF(ISBLANK(A989),"",VLOOKUP(J989,RELACIONES!$B$3:$E$83,4,FALSE)*E989)</f>
        <v/>
      </c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34" t="str">
        <f>IF(ISBLANK(A990),"",VLOOKUP(A990,RELACIONES!$G$3:$H$65,2,FALSE()))</f>
        <v/>
      </c>
      <c r="J990" s="35" t="str">
        <f>IF(ISBLANK(A990),"",VLOOKUP(C990,RELACIONES!$A$3:$B$70,2,FALSE))</f>
        <v/>
      </c>
      <c r="K990" s="35" t="str">
        <f>IF(ISBLANK(A990),"",VLOOKUP(J990,RELACIONES!$B$3:$E$83,4,FALSE)*E990)</f>
        <v/>
      </c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34" t="str">
        <f>IF(ISBLANK(A991),"",VLOOKUP(A991,RELACIONES!$G$3:$H$65,2,FALSE()))</f>
        <v/>
      </c>
      <c r="J991" s="35" t="str">
        <f>IF(ISBLANK(A991),"",VLOOKUP(C991,RELACIONES!$A$3:$B$70,2,FALSE))</f>
        <v/>
      </c>
      <c r="K991" s="35" t="str">
        <f>IF(ISBLANK(A991),"",VLOOKUP(J991,RELACIONES!$B$3:$E$83,4,FALSE)*E991)</f>
        <v/>
      </c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34" t="str">
        <f>IF(ISBLANK(A992),"",VLOOKUP(A992,RELACIONES!$G$3:$H$65,2,FALSE()))</f>
        <v/>
      </c>
      <c r="J992" s="35" t="str">
        <f>IF(ISBLANK(A992),"",VLOOKUP(C992,RELACIONES!$A$3:$B$70,2,FALSE))</f>
        <v/>
      </c>
      <c r="K992" s="35" t="str">
        <f>IF(ISBLANK(A992),"",VLOOKUP(J992,RELACIONES!$B$3:$E$83,4,FALSE)*E992)</f>
        <v/>
      </c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34" t="str">
        <f>IF(ISBLANK(A993),"",VLOOKUP(A993,RELACIONES!$G$3:$H$65,2,FALSE()))</f>
        <v/>
      </c>
      <c r="J993" s="35" t="str">
        <f>IF(ISBLANK(A993),"",VLOOKUP(C993,RELACIONES!$A$3:$B$70,2,FALSE))</f>
        <v/>
      </c>
      <c r="K993" s="35" t="str">
        <f>IF(ISBLANK(A993),"",VLOOKUP(J993,RELACIONES!$B$3:$E$83,4,FALSE)*E993)</f>
        <v/>
      </c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34" t="str">
        <f>IF(ISBLANK(A994),"",VLOOKUP(A994,RELACIONES!$G$3:$H$65,2,FALSE()))</f>
        <v/>
      </c>
      <c r="J994" s="35" t="str">
        <f>IF(ISBLANK(A994),"",VLOOKUP(C994,RELACIONES!$A$3:$B$70,2,FALSE))</f>
        <v/>
      </c>
      <c r="K994" s="35" t="str">
        <f>IF(ISBLANK(A994),"",VLOOKUP(J994,RELACIONES!$B$3:$E$83,4,FALSE)*E994)</f>
        <v/>
      </c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34" t="str">
        <f>IF(ISBLANK(A995),"",VLOOKUP(A995,RELACIONES!$G$3:$H$65,2,FALSE()))</f>
        <v/>
      </c>
      <c r="J995" s="35" t="str">
        <f>IF(ISBLANK(A995),"",VLOOKUP(C995,RELACIONES!$A$3:$B$70,2,FALSE))</f>
        <v/>
      </c>
      <c r="K995" s="35" t="str">
        <f>IF(ISBLANK(A995),"",VLOOKUP(J995,RELACIONES!$B$3:$E$83,4,FALSE)*E995)</f>
        <v/>
      </c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34" t="str">
        <f>IF(ISBLANK(A996),"",VLOOKUP(A996,RELACIONES!$G$3:$H$65,2,FALSE()))</f>
        <v/>
      </c>
      <c r="J996" s="35" t="str">
        <f>IF(ISBLANK(A996),"",VLOOKUP(C996,RELACIONES!$A$3:$B$70,2,FALSE))</f>
        <v/>
      </c>
      <c r="K996" s="35" t="str">
        <f>IF(ISBLANK(A996),"",VLOOKUP(J996,RELACIONES!$B$3:$E$83,4,FALSE)*E996)</f>
        <v/>
      </c>
    </row>
    <row r="997" ht="15.75" customHeight="1">
      <c r="A997" s="50"/>
      <c r="B997" s="50"/>
      <c r="C997" s="50"/>
      <c r="D997" s="50"/>
      <c r="E997" s="50"/>
      <c r="F997" s="50"/>
      <c r="G997" s="50"/>
      <c r="H997" s="50"/>
      <c r="I997" s="34" t="str">
        <f>IF(ISBLANK(A997),"",VLOOKUP(A997,RELACIONES!$G$3:$H$65,2,FALSE()))</f>
        <v/>
      </c>
      <c r="J997" s="35" t="str">
        <f>IF(ISBLANK(A997),"",VLOOKUP(C997,RELACIONES!$A$3:$B$70,2,FALSE))</f>
        <v/>
      </c>
      <c r="K997" s="35" t="str">
        <f>IF(ISBLANK(A997),"",VLOOKUP(J997,RELACIONES!$B$3:$E$83,4,FALSE)*E997)</f>
        <v/>
      </c>
    </row>
    <row r="998" ht="15.75" customHeight="1">
      <c r="A998" s="50"/>
      <c r="B998" s="50"/>
      <c r="C998" s="50"/>
      <c r="D998" s="50"/>
      <c r="E998" s="50"/>
      <c r="F998" s="50"/>
      <c r="G998" s="50"/>
      <c r="H998" s="50"/>
      <c r="I998" s="34" t="str">
        <f>IF(ISBLANK(A998),"",VLOOKUP(A998,RELACIONES!$G$3:$H$65,2,FALSE()))</f>
        <v/>
      </c>
      <c r="J998" s="35" t="str">
        <f>IF(ISBLANK(A998),"",VLOOKUP(C998,RELACIONES!$A$3:$B$70,2,FALSE))</f>
        <v/>
      </c>
      <c r="K998" s="35" t="str">
        <f>IF(ISBLANK(A998),"",VLOOKUP(J998,RELACIONES!$B$3:$E$83,4,FALSE)*E998)</f>
        <v/>
      </c>
    </row>
    <row r="999" ht="15.75" customHeight="1">
      <c r="A999" s="50"/>
      <c r="B999" s="50"/>
      <c r="C999" s="50"/>
      <c r="D999" s="50"/>
      <c r="E999" s="50"/>
      <c r="F999" s="50"/>
      <c r="G999" s="50"/>
      <c r="H999" s="50"/>
      <c r="I999" s="34" t="str">
        <f>IF(ISBLANK(A999),"",VLOOKUP(A999,RELACIONES!$G$3:$H$65,2,FALSE()))</f>
        <v/>
      </c>
      <c r="J999" s="35" t="str">
        <f>IF(ISBLANK(A999),"",VLOOKUP(C999,RELACIONES!$A$3:$B$70,2,FALSE))</f>
        <v/>
      </c>
      <c r="K999" s="35" t="str">
        <f>IF(ISBLANK(A999),"",VLOOKUP(J999,RELACIONES!$B$3:$E$83,4,FALSE)*E999)</f>
        <v/>
      </c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  <c r="I1000" s="34" t="str">
        <f>IF(ISBLANK(A1000),"",VLOOKUP(A1000,RELACIONES!$G$3:$H$65,2,FALSE()))</f>
        <v/>
      </c>
      <c r="J1000" s="35" t="str">
        <f>IF(ISBLANK(A1000),"",VLOOKUP(C1000,RELACIONES!$A$3:$B$70,2,FALSE))</f>
        <v/>
      </c>
      <c r="K1000" s="35" t="str">
        <f>IF(ISBLANK(A1000),"",VLOOKUP(J1000,RELACIONES!$B$3:$E$83,4,FALSE)*E1000)</f>
        <v/>
      </c>
    </row>
    <row r="1001" ht="15.75" customHeight="1">
      <c r="A1001" s="50"/>
      <c r="B1001" s="50"/>
      <c r="C1001" s="50"/>
      <c r="D1001" s="50"/>
      <c r="E1001" s="50"/>
      <c r="F1001" s="50"/>
      <c r="G1001" s="50"/>
      <c r="H1001" s="50"/>
      <c r="I1001" s="34" t="str">
        <f>IF(ISBLANK(A1001),"",VLOOKUP(A1001,RELACIONES!$G$3:$H$65,2,FALSE()))</f>
        <v/>
      </c>
      <c r="J1001" s="35" t="str">
        <f>IF(ISBLANK(A1001),"",VLOOKUP(C1001,RELACIONES!$A$3:$B$70,2,FALSE))</f>
        <v/>
      </c>
      <c r="K1001" s="35" t="str">
        <f>IF(ISBLANK(A1001),"",VLOOKUP(J1001,RELACIONES!$B$3:$E$83,4,FALSE)*E1001)</f>
        <v/>
      </c>
    </row>
    <row r="1002" ht="15.75" customHeight="1">
      <c r="A1002" s="50"/>
      <c r="B1002" s="50"/>
      <c r="C1002" s="50"/>
      <c r="D1002" s="50"/>
      <c r="E1002" s="50"/>
      <c r="F1002" s="50"/>
      <c r="G1002" s="50"/>
      <c r="H1002" s="50"/>
      <c r="I1002" s="34" t="str">
        <f>IF(ISBLANK(A1002),"",VLOOKUP(A1002,RELACIONES!$G$3:$H$65,2,FALSE()))</f>
        <v/>
      </c>
      <c r="J1002" s="35" t="str">
        <f>IF(ISBLANK(A1002),"",VLOOKUP(C1002,RELACIONES!$A$3:$B$70,2,FALSE))</f>
        <v/>
      </c>
      <c r="K1002" s="35" t="str">
        <f>IF(ISBLANK(A1002),"",VLOOKUP(J1002,RELACIONES!$B$3:$E$83,4,FALSE)*E1002)</f>
        <v/>
      </c>
    </row>
    <row r="1003" ht="15.75" customHeight="1">
      <c r="A1003" s="50"/>
      <c r="B1003" s="50"/>
      <c r="C1003" s="50"/>
      <c r="D1003" s="50"/>
      <c r="E1003" s="50"/>
      <c r="F1003" s="50"/>
      <c r="G1003" s="50"/>
      <c r="H1003" s="50"/>
      <c r="I1003" s="34" t="str">
        <f>IF(ISBLANK(A1003),"",VLOOKUP(A1003,RELACIONES!$G$3:$H$65,2,FALSE()))</f>
        <v/>
      </c>
      <c r="J1003" s="35" t="str">
        <f>IF(ISBLANK(A1003),"",VLOOKUP(C1003,RELACIONES!$A$3:$B$70,2,FALSE))</f>
        <v/>
      </c>
      <c r="K1003" s="35" t="str">
        <f>IF(ISBLANK(A1003),"",VLOOKUP(J1003,RELACIONES!$B$3:$E$83,4,FALSE)*E1003)</f>
        <v/>
      </c>
    </row>
    <row r="1004" ht="15.75" customHeight="1">
      <c r="A1004" s="50"/>
      <c r="B1004" s="50"/>
      <c r="C1004" s="50"/>
      <c r="D1004" s="50"/>
      <c r="E1004" s="50"/>
      <c r="F1004" s="50"/>
      <c r="G1004" s="50"/>
      <c r="H1004" s="50"/>
      <c r="I1004" s="34" t="str">
        <f>IF(ISBLANK(A1004),"",VLOOKUP(A1004,RELACIONES!$G$3:$H$65,2,FALSE()))</f>
        <v/>
      </c>
      <c r="J1004" s="35" t="str">
        <f>IF(ISBLANK(A1004),"",VLOOKUP(C1004,RELACIONES!$A$3:$B$70,2,FALSE))</f>
        <v/>
      </c>
      <c r="K1004" s="35" t="str">
        <f>IF(ISBLANK(A1004),"",VLOOKUP(J1004,RELACIONES!$B$3:$E$83,4,FALSE)*E1004)</f>
        <v/>
      </c>
    </row>
    <row r="1005" ht="15.75" customHeight="1">
      <c r="A1005" s="50"/>
      <c r="B1005" s="50"/>
      <c r="C1005" s="50"/>
      <c r="D1005" s="50"/>
      <c r="E1005" s="50"/>
      <c r="F1005" s="50"/>
      <c r="G1005" s="50"/>
      <c r="H1005" s="50"/>
      <c r="I1005" s="34" t="str">
        <f>IF(ISBLANK(A1005),"",VLOOKUP(A1005,RELACIONES!$G$3:$H$65,2,FALSE()))</f>
        <v/>
      </c>
      <c r="J1005" s="35" t="str">
        <f>IF(ISBLANK(A1005),"",VLOOKUP(C1005,RELACIONES!$A$3:$B$70,2,FALSE))</f>
        <v/>
      </c>
      <c r="K1005" s="35" t="str">
        <f>IF(ISBLANK(A1005),"",VLOOKUP(J1005,RELACIONES!$B$3:$E$83,4,FALSE)*E1005)</f>
        <v/>
      </c>
    </row>
    <row r="1006" ht="15.75" customHeight="1">
      <c r="A1006" s="50"/>
      <c r="B1006" s="50"/>
      <c r="C1006" s="50"/>
      <c r="D1006" s="50"/>
      <c r="E1006" s="50"/>
      <c r="F1006" s="50"/>
      <c r="G1006" s="50"/>
      <c r="H1006" s="50"/>
      <c r="I1006" s="34" t="str">
        <f>IF(ISBLANK(A1006),"",VLOOKUP(A1006,RELACIONES!$G$3:$H$65,2,FALSE()))</f>
        <v/>
      </c>
      <c r="J1006" s="35" t="str">
        <f>IF(ISBLANK(A1006),"",VLOOKUP(C1006,RELACIONES!$A$3:$B$70,2,FALSE))</f>
        <v/>
      </c>
      <c r="K1006" s="35" t="str">
        <f>IF(ISBLANK(A1006),"",VLOOKUP(J1006,RELACIONES!$B$3:$E$83,4,FALSE)*E1006)</f>
        <v/>
      </c>
    </row>
    <row r="1007" ht="15.75" customHeight="1">
      <c r="A1007" s="50"/>
      <c r="B1007" s="50"/>
      <c r="C1007" s="50"/>
      <c r="D1007" s="50"/>
      <c r="E1007" s="50"/>
      <c r="F1007" s="50"/>
      <c r="G1007" s="50"/>
      <c r="H1007" s="50"/>
      <c r="I1007" s="34" t="str">
        <f>IF(ISBLANK(A1007),"",VLOOKUP(A1007,RELACIONES!$G$3:$H$65,2,FALSE()))</f>
        <v/>
      </c>
      <c r="J1007" s="35" t="str">
        <f>IF(ISBLANK(A1007),"",VLOOKUP(C1007,RELACIONES!$A$3:$B$70,2,FALSE))</f>
        <v/>
      </c>
      <c r="K1007" s="35" t="str">
        <f>IF(ISBLANK(A1007),"",VLOOKUP(J1007,RELACIONES!$B$3:$E$83,4,FALSE)*E1007)</f>
        <v/>
      </c>
    </row>
    <row r="1008" ht="15.75" customHeight="1">
      <c r="A1008" s="50"/>
      <c r="B1008" s="50"/>
      <c r="C1008" s="50"/>
      <c r="D1008" s="50"/>
      <c r="E1008" s="50"/>
      <c r="F1008" s="50"/>
      <c r="G1008" s="50"/>
      <c r="H1008" s="50"/>
      <c r="I1008" s="34" t="str">
        <f>IF(ISBLANK(A1008),"",VLOOKUP(A1008,RELACIONES!$G$3:$H$65,2,FALSE()))</f>
        <v/>
      </c>
      <c r="J1008" s="35" t="str">
        <f>IF(ISBLANK(A1008),"",VLOOKUP(C1008,RELACIONES!$A$3:$B$70,2,FALSE))</f>
        <v/>
      </c>
      <c r="K1008" s="35" t="str">
        <f>IF(ISBLANK(A1008),"",VLOOKUP(J1008,RELACIONES!$B$3:$E$83,4,FALSE)*E1008)</f>
        <v/>
      </c>
    </row>
    <row r="1009" ht="15.75" customHeight="1">
      <c r="A1009" s="50"/>
      <c r="B1009" s="50"/>
      <c r="C1009" s="50"/>
      <c r="D1009" s="50"/>
      <c r="E1009" s="50"/>
      <c r="F1009" s="50"/>
      <c r="G1009" s="50"/>
      <c r="H1009" s="50"/>
      <c r="I1009" s="34" t="str">
        <f>IF(ISBLANK(A1009),"",VLOOKUP(A1009,RELACIONES!$G$3:$H$65,2,FALSE()))</f>
        <v/>
      </c>
      <c r="J1009" s="35" t="str">
        <f>IF(ISBLANK(A1009),"",VLOOKUP(C1009,RELACIONES!$A$3:$B$70,2,FALSE))</f>
        <v/>
      </c>
      <c r="K1009" s="35" t="str">
        <f>IF(ISBLANK(A1009),"",VLOOKUP(J1009,RELACIONES!$B$3:$E$83,4,FALSE)*E1009)</f>
        <v/>
      </c>
    </row>
    <row r="1010" ht="15.75" customHeight="1">
      <c r="A1010" s="50"/>
      <c r="B1010" s="50"/>
      <c r="C1010" s="50"/>
      <c r="D1010" s="50"/>
      <c r="E1010" s="50"/>
      <c r="F1010" s="50"/>
      <c r="G1010" s="50"/>
      <c r="H1010" s="50"/>
      <c r="I1010" s="34" t="str">
        <f>IF(ISBLANK(A1010),"",VLOOKUP(A1010,RELACIONES!$G$3:$H$65,2,FALSE()))</f>
        <v/>
      </c>
      <c r="J1010" s="35" t="str">
        <f>IF(ISBLANK(A1010),"",VLOOKUP(C1010,RELACIONES!$A$3:$B$70,2,FALSE))</f>
        <v/>
      </c>
      <c r="K1010" s="35" t="str">
        <f>IF(ISBLANK(A1010),"",VLOOKUP(J1010,RELACIONES!$B$3:$E$83,4,FALSE)*E1010)</f>
        <v/>
      </c>
    </row>
    <row r="1011" ht="15.75" customHeight="1">
      <c r="A1011" s="50"/>
      <c r="B1011" s="50"/>
      <c r="C1011" s="50"/>
      <c r="D1011" s="50"/>
      <c r="E1011" s="50"/>
      <c r="F1011" s="50"/>
      <c r="G1011" s="50"/>
      <c r="H1011" s="50"/>
      <c r="I1011" s="34" t="str">
        <f>IF(ISBLANK(A1011),"",VLOOKUP(A1011,RELACIONES!$G$3:$H$65,2,FALSE()))</f>
        <v/>
      </c>
      <c r="J1011" s="35" t="str">
        <f>IF(ISBLANK(A1011),"",VLOOKUP(C1011,RELACIONES!$A$3:$B$70,2,FALSE))</f>
        <v/>
      </c>
      <c r="K1011" s="35" t="str">
        <f>IF(ISBLANK(A1011),"",VLOOKUP(J1011,RELACIONES!$B$3:$E$83,4,FALSE)*E1011)</f>
        <v/>
      </c>
    </row>
    <row r="1012" ht="15.75" customHeight="1">
      <c r="A1012" s="50"/>
      <c r="B1012" s="50"/>
      <c r="C1012" s="50"/>
      <c r="D1012" s="50"/>
      <c r="E1012" s="50"/>
      <c r="F1012" s="50"/>
      <c r="G1012" s="50"/>
      <c r="H1012" s="50"/>
      <c r="I1012" s="34" t="str">
        <f>IF(ISBLANK(A1012),"",VLOOKUP(A1012,RELACIONES!$G$3:$H$65,2,FALSE()))</f>
        <v/>
      </c>
      <c r="J1012" s="35" t="str">
        <f>IF(ISBLANK(A1012),"",VLOOKUP(C1012,RELACIONES!$A$3:$B$70,2,FALSE))</f>
        <v/>
      </c>
      <c r="K1012" s="35" t="str">
        <f>IF(ISBLANK(A1012),"",VLOOKUP(J1012,RELACIONES!$B$3:$E$83,4,FALSE)*E1012)</f>
        <v/>
      </c>
    </row>
    <row r="1013" ht="15.75" customHeight="1">
      <c r="A1013" s="50"/>
      <c r="B1013" s="50"/>
      <c r="C1013" s="50"/>
      <c r="D1013" s="50"/>
      <c r="E1013" s="50"/>
      <c r="F1013" s="50"/>
      <c r="G1013" s="50"/>
      <c r="H1013" s="50"/>
      <c r="I1013" s="34" t="str">
        <f>IF(ISBLANK(A1013),"",VLOOKUP(A1013,RELACIONES!$G$3:$H$65,2,FALSE()))</f>
        <v/>
      </c>
      <c r="J1013" s="35" t="str">
        <f>IF(ISBLANK(A1013),"",VLOOKUP(C1013,RELACIONES!$A$3:$B$70,2,FALSE))</f>
        <v/>
      </c>
      <c r="K1013" s="35" t="str">
        <f>IF(ISBLANK(A1013),"",VLOOKUP(J1013,RELACIONES!$B$3:$E$83,4,FALSE)*E1013)</f>
        <v/>
      </c>
    </row>
    <row r="1014" ht="15.75" customHeight="1">
      <c r="A1014" s="50"/>
      <c r="B1014" s="50"/>
      <c r="C1014" s="50"/>
      <c r="D1014" s="50"/>
      <c r="E1014" s="50"/>
      <c r="F1014" s="50"/>
      <c r="G1014" s="50"/>
      <c r="H1014" s="50"/>
      <c r="I1014" s="34" t="str">
        <f>IF(ISBLANK(A1014),"",VLOOKUP(A1014,RELACIONES!$G$3:$H$65,2,FALSE()))</f>
        <v/>
      </c>
      <c r="J1014" s="35" t="str">
        <f>IF(ISBLANK(A1014),"",VLOOKUP(C1014,RELACIONES!$A$3:$B$70,2,FALSE))</f>
        <v/>
      </c>
      <c r="K1014" s="35" t="str">
        <f>IF(ISBLANK(A1014),"",VLOOKUP(J1014,RELACIONES!$B$3:$E$83,4,FALSE)*E1014)</f>
        <v/>
      </c>
    </row>
    <row r="1015" ht="15.75" customHeight="1">
      <c r="A1015" s="50"/>
      <c r="B1015" s="50"/>
      <c r="C1015" s="50"/>
      <c r="D1015" s="50"/>
      <c r="E1015" s="50"/>
      <c r="F1015" s="50"/>
      <c r="G1015" s="50"/>
      <c r="H1015" s="50"/>
      <c r="I1015" s="34" t="str">
        <f>IF(ISBLANK(A1015),"",VLOOKUP(A1015,RELACIONES!$G$3:$H$65,2,FALSE()))</f>
        <v/>
      </c>
      <c r="J1015" s="35" t="str">
        <f>IF(ISBLANK(A1015),"",VLOOKUP(C1015,RELACIONES!$A$3:$B$70,2,FALSE))</f>
        <v/>
      </c>
      <c r="K1015" s="35" t="str">
        <f>IF(ISBLANK(A1015),"",VLOOKUP(J1015,RELACIONES!$B$3:$E$83,4,FALSE)*E1015)</f>
        <v/>
      </c>
    </row>
    <row r="1016" ht="15.75" customHeight="1">
      <c r="A1016" s="50"/>
      <c r="B1016" s="50"/>
      <c r="C1016" s="50"/>
      <c r="D1016" s="50"/>
      <c r="E1016" s="50"/>
      <c r="F1016" s="50"/>
      <c r="G1016" s="50"/>
      <c r="H1016" s="50"/>
      <c r="I1016" s="34" t="str">
        <f>IF(ISBLANK(A1016),"",VLOOKUP(A1016,RELACIONES!$G$3:$H$65,2,FALSE()))</f>
        <v/>
      </c>
      <c r="J1016" s="35" t="str">
        <f>IF(ISBLANK(A1016),"",VLOOKUP(C1016,RELACIONES!$A$3:$B$70,2,FALSE))</f>
        <v/>
      </c>
      <c r="K1016" s="35" t="str">
        <f>IF(ISBLANK(A1016),"",VLOOKUP(J1016,RELACIONES!$B$3:$E$83,4,FALSE)*E1016)</f>
        <v/>
      </c>
    </row>
    <row r="1017" ht="15.75" customHeight="1">
      <c r="A1017" s="50"/>
      <c r="B1017" s="50"/>
      <c r="C1017" s="50"/>
      <c r="D1017" s="50"/>
      <c r="E1017" s="50"/>
      <c r="F1017" s="50"/>
      <c r="G1017" s="50"/>
      <c r="H1017" s="50"/>
      <c r="I1017" s="34" t="str">
        <f>IF(ISBLANK(A1017),"",VLOOKUP(A1017,RELACIONES!$G$3:$H$65,2,FALSE()))</f>
        <v/>
      </c>
      <c r="J1017" s="35" t="str">
        <f>IF(ISBLANK(A1017),"",VLOOKUP(C1017,RELACIONES!$A$3:$B$70,2,FALSE))</f>
        <v/>
      </c>
      <c r="K1017" s="35" t="str">
        <f>IF(ISBLANK(A1017),"",VLOOKUP(J1017,RELACIONES!$B$3:$E$83,4,FALSE)*E1017)</f>
        <v/>
      </c>
    </row>
    <row r="1018" ht="15.75" customHeight="1">
      <c r="A1018" s="50"/>
      <c r="B1018" s="50"/>
      <c r="C1018" s="50"/>
      <c r="D1018" s="50"/>
      <c r="E1018" s="50"/>
      <c r="F1018" s="50"/>
      <c r="G1018" s="50"/>
      <c r="H1018" s="50"/>
      <c r="I1018" s="34" t="str">
        <f>IF(ISBLANK(A1018),"",VLOOKUP(A1018,RELACIONES!$G$3:$H$65,2,FALSE()))</f>
        <v/>
      </c>
      <c r="J1018" s="35" t="str">
        <f>IF(ISBLANK(A1018),"",VLOOKUP(C1018,RELACIONES!$A$3:$B$70,2,FALSE))</f>
        <v/>
      </c>
      <c r="K1018" s="35" t="str">
        <f>IF(ISBLANK(A1018),"",VLOOKUP(J1018,RELACIONES!$B$3:$E$83,4,FALSE)*E1018)</f>
        <v/>
      </c>
    </row>
    <row r="1019" ht="15.75" customHeight="1">
      <c r="A1019" s="50"/>
      <c r="B1019" s="50"/>
      <c r="C1019" s="50"/>
      <c r="D1019" s="50"/>
      <c r="E1019" s="50"/>
      <c r="F1019" s="50"/>
      <c r="G1019" s="50"/>
      <c r="H1019" s="50"/>
      <c r="I1019" s="34" t="str">
        <f>IF(ISBLANK(A1019),"",VLOOKUP(A1019,RELACIONES!$G$3:$H$65,2,FALSE()))</f>
        <v/>
      </c>
      <c r="J1019" s="35" t="str">
        <f>IF(ISBLANK(A1019),"",VLOOKUP(C1019,RELACIONES!$A$3:$B$70,2,FALSE))</f>
        <v/>
      </c>
      <c r="K1019" s="35" t="str">
        <f>IF(ISBLANK(A1019),"",VLOOKUP(J1019,RELACIONES!$B$3:$E$83,4,FALSE)*E1019)</f>
        <v/>
      </c>
    </row>
    <row r="1020" ht="15.75" customHeight="1">
      <c r="A1020" s="50"/>
      <c r="B1020" s="50"/>
      <c r="C1020" s="50"/>
      <c r="D1020" s="50"/>
      <c r="E1020" s="50"/>
      <c r="F1020" s="50"/>
      <c r="G1020" s="50"/>
      <c r="H1020" s="50"/>
      <c r="I1020" s="34" t="str">
        <f>IF(ISBLANK(A1020),"",VLOOKUP(A1020,RELACIONES!$G$3:$H$65,2,FALSE()))</f>
        <v/>
      </c>
      <c r="J1020" s="35" t="str">
        <f>IF(ISBLANK(A1020),"",VLOOKUP(C1020,RELACIONES!$A$3:$B$70,2,FALSE))</f>
        <v/>
      </c>
      <c r="K1020" s="35" t="str">
        <f>IF(ISBLANK(A1020),"",VLOOKUP(J1020,RELACIONES!$B$3:$E$83,4,FALSE)*E1020)</f>
        <v/>
      </c>
    </row>
    <row r="1021" ht="15.75" customHeight="1">
      <c r="A1021" s="50"/>
      <c r="B1021" s="50"/>
      <c r="C1021" s="50"/>
      <c r="D1021" s="50"/>
      <c r="E1021" s="50"/>
      <c r="F1021" s="50"/>
      <c r="G1021" s="50"/>
      <c r="H1021" s="50"/>
      <c r="I1021" s="34" t="str">
        <f>IF(ISBLANK(A1021),"",VLOOKUP(A1021,RELACIONES!$G$3:$H$65,2,FALSE()))</f>
        <v/>
      </c>
      <c r="J1021" s="35" t="str">
        <f>IF(ISBLANK(A1021),"",VLOOKUP(C1021,RELACIONES!$A$3:$B$70,2,FALSE))</f>
        <v/>
      </c>
      <c r="K1021" s="35" t="str">
        <f>IF(ISBLANK(A1021),"",VLOOKUP(J1021,RELACIONES!$B$3:$E$83,4,FALSE)*E1021)</f>
        <v/>
      </c>
    </row>
    <row r="1022" ht="15.75" customHeight="1">
      <c r="A1022" s="50"/>
      <c r="B1022" s="50"/>
      <c r="C1022" s="50"/>
      <c r="D1022" s="50"/>
      <c r="E1022" s="50"/>
      <c r="F1022" s="50"/>
      <c r="G1022" s="50"/>
      <c r="H1022" s="50"/>
      <c r="I1022" s="34" t="str">
        <f>IF(ISBLANK(A1022),"",VLOOKUP(A1022,RELACIONES!$G$3:$H$65,2,FALSE()))</f>
        <v/>
      </c>
      <c r="J1022" s="35" t="str">
        <f>IF(ISBLANK(A1022),"",VLOOKUP(C1022,RELACIONES!$A$3:$B$70,2,FALSE))</f>
        <v/>
      </c>
      <c r="K1022" s="35" t="str">
        <f>IF(ISBLANK(A1022),"",VLOOKUP(J1022,RELACIONES!$B$3:$E$83,4,FALSE)*E1022)</f>
        <v/>
      </c>
    </row>
    <row r="1023" ht="15.75" customHeight="1">
      <c r="A1023" s="50"/>
      <c r="B1023" s="50"/>
      <c r="C1023" s="50"/>
      <c r="D1023" s="50"/>
      <c r="E1023" s="50"/>
      <c r="F1023" s="50"/>
      <c r="G1023" s="50"/>
      <c r="H1023" s="50"/>
      <c r="I1023" s="34" t="str">
        <f>IF(ISBLANK(A1023),"",VLOOKUP(A1023,RELACIONES!$G$3:$H$65,2,FALSE()))</f>
        <v/>
      </c>
      <c r="J1023" s="35" t="str">
        <f>IF(ISBLANK(A1023),"",VLOOKUP(C1023,RELACIONES!$A$3:$B$70,2,FALSE))</f>
        <v/>
      </c>
      <c r="K1023" s="35" t="str">
        <f>IF(ISBLANK(A1023),"",VLOOKUP(J1023,RELACIONES!$B$3:$E$83,4,FALSE)*E1023)</f>
        <v/>
      </c>
    </row>
    <row r="1024" ht="15.75" customHeight="1">
      <c r="A1024" s="50"/>
      <c r="B1024" s="50"/>
      <c r="C1024" s="50"/>
      <c r="D1024" s="50"/>
      <c r="E1024" s="50"/>
      <c r="F1024" s="50"/>
      <c r="G1024" s="50"/>
      <c r="H1024" s="50"/>
      <c r="I1024" s="34" t="str">
        <f>IF(ISBLANK(A1024),"",VLOOKUP(A1024,RELACIONES!$G$3:$H$65,2,FALSE()))</f>
        <v/>
      </c>
      <c r="J1024" s="35" t="str">
        <f>IF(ISBLANK(A1024),"",VLOOKUP(C1024,RELACIONES!$A$3:$B$70,2,FALSE))</f>
        <v/>
      </c>
      <c r="K1024" s="35" t="str">
        <f>IF(ISBLANK(A1024),"",VLOOKUP(J1024,RELACIONES!$B$3:$E$83,4,FALSE)*E1024)</f>
        <v/>
      </c>
    </row>
    <row r="1025" ht="15.75" customHeight="1">
      <c r="A1025" s="50"/>
      <c r="B1025" s="50"/>
      <c r="C1025" s="50"/>
      <c r="D1025" s="50"/>
      <c r="E1025" s="50"/>
      <c r="F1025" s="50"/>
      <c r="G1025" s="50"/>
      <c r="H1025" s="50"/>
      <c r="I1025" s="34" t="str">
        <f>IF(ISBLANK(A1025),"",VLOOKUP(A1025,RELACIONES!$G$3:$H$65,2,FALSE()))</f>
        <v/>
      </c>
      <c r="J1025" s="35" t="str">
        <f>IF(ISBLANK(A1025),"",VLOOKUP(C1025,RELACIONES!$A$3:$B$70,2,FALSE))</f>
        <v/>
      </c>
      <c r="K1025" s="35" t="str">
        <f>IF(ISBLANK(A1025),"",VLOOKUP(J1025,RELACIONES!$B$3:$E$83,4,FALSE)*E1025)</f>
        <v/>
      </c>
    </row>
    <row r="1026" ht="15.75" customHeight="1">
      <c r="A1026" s="50"/>
      <c r="B1026" s="50"/>
      <c r="C1026" s="50"/>
      <c r="D1026" s="50"/>
      <c r="E1026" s="50"/>
      <c r="F1026" s="50"/>
      <c r="G1026" s="50"/>
      <c r="H1026" s="50"/>
      <c r="I1026" s="34" t="str">
        <f>IF(ISBLANK(A1026),"",VLOOKUP(A1026,RELACIONES!$G$3:$H$65,2,FALSE()))</f>
        <v/>
      </c>
      <c r="J1026" s="35" t="str">
        <f>IF(ISBLANK(A1026),"",VLOOKUP(C1026,RELACIONES!$A$3:$B$70,2,FALSE))</f>
        <v/>
      </c>
      <c r="K1026" s="35" t="str">
        <f>IF(ISBLANK(A1026),"",VLOOKUP(J1026,RELACIONES!$B$3:$E$83,4,FALSE)*E1026)</f>
        <v/>
      </c>
    </row>
    <row r="1027" ht="15.75" customHeight="1">
      <c r="A1027" s="50"/>
      <c r="B1027" s="50"/>
      <c r="C1027" s="50"/>
      <c r="D1027" s="50"/>
      <c r="E1027" s="50"/>
      <c r="F1027" s="50"/>
      <c r="G1027" s="50"/>
      <c r="H1027" s="50"/>
      <c r="I1027" s="34" t="str">
        <f>IF(ISBLANK(A1027),"",VLOOKUP(A1027,RELACIONES!$G$3:$H$65,2,FALSE()))</f>
        <v/>
      </c>
      <c r="J1027" s="35" t="str">
        <f>IF(ISBLANK(A1027),"",VLOOKUP(C1027,RELACIONES!$A$3:$B$70,2,FALSE))</f>
        <v/>
      </c>
      <c r="K1027" s="35" t="str">
        <f>IF(ISBLANK(A1027),"",VLOOKUP(J1027,RELACIONES!$B$3:$E$83,4,FALSE)*E1027)</f>
        <v/>
      </c>
    </row>
    <row r="1028" ht="15.75" customHeight="1">
      <c r="A1028" s="50"/>
      <c r="B1028" s="50"/>
      <c r="C1028" s="50"/>
      <c r="D1028" s="50"/>
      <c r="E1028" s="50"/>
      <c r="F1028" s="50"/>
      <c r="G1028" s="50"/>
      <c r="H1028" s="50"/>
      <c r="I1028" s="34" t="str">
        <f>IF(ISBLANK(A1028),"",VLOOKUP(A1028,RELACIONES!$G$3:$H$65,2,FALSE()))</f>
        <v/>
      </c>
      <c r="J1028" s="35" t="str">
        <f>IF(ISBLANK(A1028),"",VLOOKUP(C1028,RELACIONES!$A$3:$B$70,2,FALSE))</f>
        <v/>
      </c>
      <c r="K1028" s="35" t="str">
        <f>IF(ISBLANK(A1028),"",VLOOKUP(J1028,RELACIONES!$B$3:$E$83,4,FALSE)*E1028)</f>
        <v/>
      </c>
    </row>
    <row r="1029" ht="15.75" customHeight="1">
      <c r="A1029" s="50"/>
      <c r="B1029" s="50"/>
      <c r="C1029" s="50"/>
      <c r="D1029" s="50"/>
      <c r="E1029" s="50"/>
      <c r="F1029" s="50"/>
      <c r="G1029" s="50"/>
      <c r="H1029" s="50"/>
      <c r="I1029" s="34" t="str">
        <f>IF(ISBLANK(A1029),"",VLOOKUP(A1029,RELACIONES!$G$3:$H$65,2,FALSE()))</f>
        <v/>
      </c>
      <c r="J1029" s="35" t="str">
        <f>IF(ISBLANK(A1029),"",VLOOKUP(C1029,RELACIONES!$A$3:$B$70,2,FALSE))</f>
        <v/>
      </c>
      <c r="K1029" s="35" t="str">
        <f>IF(ISBLANK(A1029),"",VLOOKUP(J1029,RELACIONES!$B$3:$E$83,4,FALSE)*E1029)</f>
        <v/>
      </c>
    </row>
    <row r="1030" ht="15.75" customHeight="1">
      <c r="A1030" s="50"/>
      <c r="B1030" s="50"/>
      <c r="C1030" s="50"/>
      <c r="D1030" s="50"/>
      <c r="E1030" s="50"/>
      <c r="F1030" s="50"/>
      <c r="G1030" s="50"/>
      <c r="H1030" s="50"/>
      <c r="I1030" s="34" t="str">
        <f>IF(ISBLANK(A1030),"",VLOOKUP(A1030,RELACIONES!$G$3:$H$65,2,FALSE()))</f>
        <v/>
      </c>
      <c r="J1030" s="35" t="str">
        <f>IF(ISBLANK(A1030),"",VLOOKUP(C1030,RELACIONES!$A$3:$B$70,2,FALSE))</f>
        <v/>
      </c>
      <c r="K1030" s="35" t="str">
        <f>IF(ISBLANK(A1030),"",VLOOKUP(J1030,RELACIONES!$B$3:$E$83,4,FALSE)*E1030)</f>
        <v/>
      </c>
    </row>
    <row r="1031" ht="15.75" customHeight="1">
      <c r="A1031" s="50"/>
      <c r="B1031" s="50"/>
      <c r="C1031" s="50"/>
      <c r="D1031" s="50"/>
      <c r="E1031" s="50"/>
      <c r="F1031" s="50"/>
      <c r="G1031" s="50"/>
      <c r="H1031" s="50"/>
      <c r="I1031" s="34" t="str">
        <f>IF(ISBLANK(A1031),"",VLOOKUP(A1031,RELACIONES!$G$3:$H$65,2,FALSE()))</f>
        <v/>
      </c>
      <c r="J1031" s="35" t="str">
        <f>IF(ISBLANK(A1031),"",VLOOKUP(C1031,RELACIONES!$A$3:$B$70,2,FALSE))</f>
        <v/>
      </c>
      <c r="K1031" s="35" t="str">
        <f>IF(ISBLANK(A1031),"",VLOOKUP(J1031,RELACIONES!$B$3:$E$83,4,FALSE)*E1031)</f>
        <v/>
      </c>
    </row>
    <row r="1032" ht="15.75" customHeight="1">
      <c r="A1032" s="50"/>
      <c r="B1032" s="50"/>
      <c r="C1032" s="50"/>
      <c r="D1032" s="50"/>
      <c r="E1032" s="50"/>
      <c r="F1032" s="50"/>
      <c r="G1032" s="50"/>
      <c r="H1032" s="50"/>
      <c r="I1032" s="34" t="str">
        <f>IF(ISBLANK(A1032),"",VLOOKUP(A1032,RELACIONES!$G$3:$H$65,2,FALSE()))</f>
        <v/>
      </c>
      <c r="J1032" s="35" t="str">
        <f>IF(ISBLANK(A1032),"",VLOOKUP(C1032,RELACIONES!$A$3:$B$70,2,FALSE))</f>
        <v/>
      </c>
      <c r="K1032" s="35" t="str">
        <f>IF(ISBLANK(A1032),"",VLOOKUP(J1032,RELACIONES!$B$3:$E$83,4,FALSE)*E1032)</f>
        <v/>
      </c>
    </row>
    <row r="1033" ht="15.75" customHeight="1">
      <c r="A1033" s="50"/>
      <c r="B1033" s="50"/>
      <c r="C1033" s="50"/>
      <c r="D1033" s="50"/>
      <c r="E1033" s="50"/>
      <c r="F1033" s="50"/>
      <c r="G1033" s="50"/>
      <c r="H1033" s="50"/>
      <c r="I1033" s="34" t="str">
        <f>IF(ISBLANK(A1033),"",VLOOKUP(A1033,RELACIONES!$G$3:$H$65,2,FALSE()))</f>
        <v/>
      </c>
      <c r="J1033" s="35" t="str">
        <f>IF(ISBLANK(A1033),"",VLOOKUP(C1033,RELACIONES!$A$3:$B$70,2,FALSE))</f>
        <v/>
      </c>
      <c r="K1033" s="35" t="str">
        <f>IF(ISBLANK(A1033),"",VLOOKUP(J1033,RELACIONES!$B$3:$E$83,4,FALSE)*E1033)</f>
        <v/>
      </c>
    </row>
    <row r="1034" ht="15.75" customHeight="1">
      <c r="A1034" s="50"/>
      <c r="B1034" s="50"/>
      <c r="C1034" s="50"/>
      <c r="D1034" s="50"/>
      <c r="E1034" s="50"/>
      <c r="F1034" s="50"/>
      <c r="G1034" s="50"/>
      <c r="H1034" s="50"/>
      <c r="I1034" s="34" t="str">
        <f>IF(ISBLANK(A1034),"",VLOOKUP(A1034,RELACIONES!$G$3:$H$65,2,FALSE()))</f>
        <v/>
      </c>
      <c r="J1034" s="35" t="str">
        <f>IF(ISBLANK(A1034),"",VLOOKUP(C1034,RELACIONES!$A$3:$B$70,2,FALSE))</f>
        <v/>
      </c>
      <c r="K1034" s="35" t="str">
        <f>IF(ISBLANK(A1034),"",VLOOKUP(J1034,RELACIONES!$B$3:$E$83,4,FALSE)*E1034)</f>
        <v/>
      </c>
    </row>
    <row r="1035" ht="15.75" customHeight="1">
      <c r="A1035" s="50"/>
      <c r="B1035" s="50"/>
      <c r="C1035" s="50"/>
      <c r="D1035" s="50"/>
      <c r="E1035" s="50"/>
      <c r="F1035" s="50"/>
      <c r="G1035" s="50"/>
      <c r="H1035" s="50"/>
      <c r="I1035" s="34" t="str">
        <f>IF(ISBLANK(A1035),"",VLOOKUP(A1035,RELACIONES!$G$3:$H$65,2,FALSE()))</f>
        <v/>
      </c>
      <c r="J1035" s="35" t="str">
        <f>IF(ISBLANK(A1035),"",VLOOKUP(C1035,RELACIONES!$A$3:$B$70,2,FALSE))</f>
        <v/>
      </c>
      <c r="K1035" s="35" t="str">
        <f>IF(ISBLANK(A1035),"",VLOOKUP(J1035,RELACIONES!$B$3:$E$83,4,FALSE)*E1035)</f>
        <v/>
      </c>
    </row>
    <row r="1036" ht="15.75" customHeight="1">
      <c r="A1036" s="50"/>
      <c r="B1036" s="50"/>
      <c r="C1036" s="50"/>
      <c r="D1036" s="50"/>
      <c r="E1036" s="50"/>
      <c r="F1036" s="50"/>
      <c r="G1036" s="50"/>
      <c r="H1036" s="50"/>
      <c r="I1036" s="34" t="str">
        <f>IF(ISBLANK(A1036),"",VLOOKUP(A1036,RELACIONES!$G$3:$H$65,2,FALSE()))</f>
        <v/>
      </c>
      <c r="J1036" s="35" t="str">
        <f>IF(ISBLANK(A1036),"",VLOOKUP(C1036,RELACIONES!$A$3:$B$70,2,FALSE))</f>
        <v/>
      </c>
      <c r="K1036" s="35" t="str">
        <f>IF(ISBLANK(A1036),"",VLOOKUP(J1036,RELACIONES!$B$3:$E$83,4,FALSE)*E1036)</f>
        <v/>
      </c>
    </row>
    <row r="1037" ht="15.75" customHeight="1">
      <c r="A1037" s="50"/>
      <c r="B1037" s="50"/>
      <c r="C1037" s="50"/>
      <c r="D1037" s="50"/>
      <c r="E1037" s="50"/>
      <c r="F1037" s="50"/>
      <c r="G1037" s="50"/>
      <c r="H1037" s="50"/>
      <c r="I1037" s="34" t="str">
        <f>IF(ISBLANK(A1037),"",VLOOKUP(A1037,RELACIONES!$G$3:$H$65,2,FALSE()))</f>
        <v/>
      </c>
      <c r="J1037" s="35" t="str">
        <f>IF(ISBLANK(A1037),"",VLOOKUP(C1037,RELACIONES!$A$3:$B$70,2,FALSE))</f>
        <v/>
      </c>
      <c r="K1037" s="35" t="str">
        <f>IF(ISBLANK(A1037),"",VLOOKUP(J1037,RELACIONES!$B$3:$E$83,4,FALSE)*E1037)</f>
        <v/>
      </c>
    </row>
    <row r="1038" ht="15.75" customHeight="1">
      <c r="A1038" s="50"/>
      <c r="B1038" s="50"/>
      <c r="C1038" s="50"/>
      <c r="D1038" s="50"/>
      <c r="E1038" s="50"/>
      <c r="F1038" s="50"/>
      <c r="G1038" s="50"/>
      <c r="H1038" s="50"/>
      <c r="I1038" s="34" t="str">
        <f>IF(ISBLANK(A1038),"",VLOOKUP(A1038,RELACIONES!$G$3:$H$65,2,FALSE()))</f>
        <v/>
      </c>
      <c r="J1038" s="35" t="str">
        <f>IF(ISBLANK(A1038),"",VLOOKUP(C1038,RELACIONES!$A$3:$B$70,2,FALSE))</f>
        <v/>
      </c>
      <c r="K1038" s="35" t="str">
        <f>IF(ISBLANK(A1038),"",VLOOKUP(J1038,RELACIONES!$B$3:$E$83,4,FALSE)*E1038)</f>
        <v/>
      </c>
    </row>
    <row r="1039" ht="15.75" customHeight="1">
      <c r="A1039" s="50"/>
      <c r="B1039" s="50"/>
      <c r="C1039" s="50"/>
      <c r="D1039" s="50"/>
      <c r="E1039" s="50"/>
      <c r="F1039" s="50"/>
      <c r="G1039" s="50"/>
      <c r="H1039" s="50"/>
      <c r="I1039" s="34" t="str">
        <f>IF(ISBLANK(A1039),"",VLOOKUP(A1039,RELACIONES!$G$3:$H$65,2,FALSE()))</f>
        <v/>
      </c>
      <c r="J1039" s="35" t="str">
        <f>IF(ISBLANK(A1039),"",VLOOKUP(C1039,RELACIONES!$A$3:$B$70,2,FALSE))</f>
        <v/>
      </c>
      <c r="K1039" s="35" t="str">
        <f>IF(ISBLANK(A1039),"",VLOOKUP(J1039,RELACIONES!$B$3:$E$83,4,FALSE)*E1039)</f>
        <v/>
      </c>
    </row>
    <row r="1040" ht="15.75" customHeight="1">
      <c r="A1040" s="50"/>
      <c r="B1040" s="50"/>
      <c r="C1040" s="50"/>
      <c r="D1040" s="50"/>
      <c r="E1040" s="50"/>
      <c r="F1040" s="50"/>
      <c r="G1040" s="50"/>
      <c r="H1040" s="50"/>
      <c r="I1040" s="34" t="str">
        <f>IF(ISBLANK(A1040),"",VLOOKUP(A1040,RELACIONES!$G$3:$H$65,2,FALSE()))</f>
        <v/>
      </c>
      <c r="J1040" s="35" t="str">
        <f>IF(ISBLANK(A1040),"",VLOOKUP(C1040,RELACIONES!$A$3:$B$70,2,FALSE))</f>
        <v/>
      </c>
      <c r="K1040" s="35" t="str">
        <f>IF(ISBLANK(A1040),"",VLOOKUP(J1040,RELACIONES!$B$3:$E$83,4,FALSE)*E1040)</f>
        <v/>
      </c>
    </row>
    <row r="1041" ht="15.75" customHeight="1">
      <c r="A1041" s="50"/>
      <c r="B1041" s="50"/>
      <c r="C1041" s="50"/>
      <c r="D1041" s="50"/>
      <c r="E1041" s="50"/>
      <c r="F1041" s="50"/>
      <c r="G1041" s="50"/>
      <c r="H1041" s="50"/>
      <c r="I1041" s="34" t="str">
        <f>IF(ISBLANK(A1041),"",VLOOKUP(A1041,RELACIONES!$G$3:$H$65,2,FALSE()))</f>
        <v/>
      </c>
      <c r="J1041" s="35" t="str">
        <f>IF(ISBLANK(A1041),"",VLOOKUP(C1041,RELACIONES!$A$3:$B$70,2,FALSE))</f>
        <v/>
      </c>
      <c r="K1041" s="35" t="str">
        <f>IF(ISBLANK(A1041),"",VLOOKUP(J1041,RELACIONES!$B$3:$E$83,4,FALSE)*E1041)</f>
        <v/>
      </c>
    </row>
    <row r="1042" ht="15.75" customHeight="1">
      <c r="A1042" s="50"/>
      <c r="B1042" s="50"/>
      <c r="C1042" s="50"/>
      <c r="D1042" s="50"/>
      <c r="E1042" s="50"/>
      <c r="F1042" s="50"/>
      <c r="G1042" s="50"/>
      <c r="H1042" s="50"/>
      <c r="I1042" s="34" t="str">
        <f>IF(ISBLANK(A1042),"",VLOOKUP(A1042,RELACIONES!$G$3:$H$65,2,FALSE()))</f>
        <v/>
      </c>
      <c r="J1042" s="35" t="str">
        <f>IF(ISBLANK(A1042),"",VLOOKUP(C1042,RELACIONES!$A$3:$B$70,2,FALSE))</f>
        <v/>
      </c>
      <c r="K1042" s="35" t="str">
        <f>IF(ISBLANK(A1042),"",VLOOKUP(J1042,RELACIONES!$B$3:$E$83,4,FALSE)*E1042)</f>
        <v/>
      </c>
    </row>
    <row r="1043" ht="15.75" customHeight="1">
      <c r="A1043" s="50"/>
      <c r="B1043" s="50"/>
      <c r="C1043" s="50"/>
      <c r="D1043" s="50"/>
      <c r="E1043" s="50"/>
      <c r="F1043" s="50"/>
      <c r="G1043" s="50"/>
      <c r="H1043" s="50"/>
      <c r="I1043" s="34" t="str">
        <f>IF(ISBLANK(A1043),"",VLOOKUP(A1043,RELACIONES!$G$3:$H$65,2,FALSE()))</f>
        <v/>
      </c>
      <c r="J1043" s="35" t="str">
        <f>IF(ISBLANK(A1043),"",VLOOKUP(C1043,RELACIONES!$A$3:$B$70,2,FALSE))</f>
        <v/>
      </c>
      <c r="K1043" s="35" t="str">
        <f>IF(ISBLANK(A1043),"",VLOOKUP(J1043,RELACIONES!$B$3:$E$83,4,FALSE)*E1043)</f>
        <v/>
      </c>
    </row>
    <row r="1044" ht="15.75" customHeight="1">
      <c r="A1044" s="50"/>
      <c r="B1044" s="50"/>
      <c r="C1044" s="50"/>
      <c r="D1044" s="50"/>
      <c r="E1044" s="50"/>
      <c r="F1044" s="50"/>
      <c r="G1044" s="50"/>
      <c r="H1044" s="50"/>
      <c r="I1044" s="34" t="str">
        <f>IF(ISBLANK(A1044),"",VLOOKUP(A1044,RELACIONES!$G$3:$H$65,2,FALSE()))</f>
        <v/>
      </c>
      <c r="J1044" s="35" t="str">
        <f>IF(ISBLANK(A1044),"",VLOOKUP(C1044,RELACIONES!$A$3:$B$70,2,FALSE))</f>
        <v/>
      </c>
      <c r="K1044" s="35" t="str">
        <f>IF(ISBLANK(A1044),"",VLOOKUP(J1044,RELACIONES!$B$3:$E$83,4,FALSE)*E1044)</f>
        <v/>
      </c>
    </row>
    <row r="1045" ht="15.75" customHeight="1">
      <c r="A1045" s="50"/>
      <c r="B1045" s="50"/>
      <c r="C1045" s="50"/>
      <c r="D1045" s="50"/>
      <c r="E1045" s="50"/>
      <c r="F1045" s="50"/>
      <c r="G1045" s="50"/>
      <c r="H1045" s="50"/>
      <c r="I1045" s="34" t="str">
        <f>IF(ISBLANK(A1045),"",VLOOKUP(A1045,RELACIONES!$G$3:$H$65,2,FALSE()))</f>
        <v/>
      </c>
      <c r="J1045" s="35" t="str">
        <f>IF(ISBLANK(A1045),"",VLOOKUP(C1045,RELACIONES!$A$3:$B$70,2,FALSE))</f>
        <v/>
      </c>
      <c r="K1045" s="35" t="str">
        <f>IF(ISBLANK(A1045),"",VLOOKUP(J1045,RELACIONES!$B$3:$E$83,4,FALSE)*E1045)</f>
        <v/>
      </c>
    </row>
    <row r="1046" ht="15.75" customHeight="1">
      <c r="A1046" s="50"/>
      <c r="B1046" s="50"/>
      <c r="C1046" s="50"/>
      <c r="D1046" s="50"/>
      <c r="E1046" s="50"/>
      <c r="F1046" s="50"/>
      <c r="G1046" s="50"/>
      <c r="H1046" s="50"/>
      <c r="I1046" s="34" t="str">
        <f>IF(ISBLANK(A1046),"",VLOOKUP(A1046,RELACIONES!$G$3:$H$65,2,FALSE()))</f>
        <v/>
      </c>
      <c r="J1046" s="35" t="str">
        <f>IF(ISBLANK(A1046),"",VLOOKUP(C1046,RELACIONES!$A$3:$B$70,2,FALSE))</f>
        <v/>
      </c>
      <c r="K1046" s="35" t="str">
        <f>IF(ISBLANK(A1046),"",VLOOKUP(J1046,RELACIONES!$B$3:$E$83,4,FALSE)*E1046)</f>
        <v/>
      </c>
    </row>
    <row r="1047" ht="15.75" customHeight="1">
      <c r="A1047" s="50"/>
      <c r="B1047" s="50"/>
      <c r="C1047" s="50"/>
      <c r="D1047" s="50"/>
      <c r="E1047" s="50"/>
      <c r="F1047" s="50"/>
      <c r="G1047" s="50"/>
      <c r="H1047" s="50"/>
      <c r="I1047" s="34" t="str">
        <f>IF(ISBLANK(A1047),"",VLOOKUP(A1047,RELACIONES!$G$3:$H$65,2,FALSE()))</f>
        <v/>
      </c>
      <c r="J1047" s="35" t="str">
        <f>IF(ISBLANK(A1047),"",VLOOKUP(C1047,RELACIONES!$A$3:$B$70,2,FALSE))</f>
        <v/>
      </c>
      <c r="K1047" s="35" t="str">
        <f>IF(ISBLANK(A1047),"",VLOOKUP(J1047,RELACIONES!$B$3:$E$83,4,FALSE)*E1047)</f>
        <v/>
      </c>
    </row>
    <row r="1048" ht="15.75" customHeight="1">
      <c r="A1048" s="50"/>
      <c r="B1048" s="50"/>
      <c r="C1048" s="50"/>
      <c r="D1048" s="50"/>
      <c r="E1048" s="50"/>
      <c r="F1048" s="50"/>
      <c r="G1048" s="50"/>
      <c r="H1048" s="50"/>
      <c r="I1048" s="34" t="str">
        <f>IF(ISBLANK(A1048),"",VLOOKUP(A1048,RELACIONES!$G$3:$H$65,2,FALSE()))</f>
        <v/>
      </c>
      <c r="J1048" s="35" t="str">
        <f>IF(ISBLANK(A1048),"",VLOOKUP(C1048,RELACIONES!$A$3:$B$70,2,FALSE))</f>
        <v/>
      </c>
      <c r="K1048" s="35" t="str">
        <f>IF(ISBLANK(A1048),"",VLOOKUP(J1048,RELACIONES!$B$3:$E$83,4,FALSE)*E1048)</f>
        <v/>
      </c>
    </row>
    <row r="1049" ht="15.75" customHeight="1">
      <c r="A1049" s="50"/>
      <c r="B1049" s="50"/>
      <c r="C1049" s="50"/>
      <c r="D1049" s="50"/>
      <c r="E1049" s="50"/>
      <c r="F1049" s="50"/>
      <c r="G1049" s="50"/>
      <c r="H1049" s="50"/>
      <c r="I1049" s="34" t="str">
        <f>IF(ISBLANK(A1049),"",VLOOKUP(A1049,RELACIONES!$G$3:$H$65,2,FALSE()))</f>
        <v/>
      </c>
      <c r="J1049" s="35" t="str">
        <f>IF(ISBLANK(A1049),"",VLOOKUP(C1049,RELACIONES!$A$3:$B$70,2,FALSE))</f>
        <v/>
      </c>
      <c r="K1049" s="35" t="str">
        <f>IF(ISBLANK(A1049),"",VLOOKUP(J1049,RELACIONES!$B$3:$E$83,4,FALSE)*E1049)</f>
        <v/>
      </c>
    </row>
    <row r="1050" ht="15.75" customHeight="1">
      <c r="A1050" s="50"/>
      <c r="B1050" s="50"/>
      <c r="C1050" s="50"/>
      <c r="D1050" s="50"/>
      <c r="E1050" s="50"/>
      <c r="F1050" s="50"/>
      <c r="G1050" s="50"/>
      <c r="H1050" s="50"/>
      <c r="I1050" s="34" t="str">
        <f>IF(ISBLANK(A1050),"",VLOOKUP(A1050,RELACIONES!$G$3:$H$65,2,FALSE()))</f>
        <v/>
      </c>
      <c r="J1050" s="35" t="str">
        <f>IF(ISBLANK(A1050),"",VLOOKUP(C1050,RELACIONES!$A$3:$B$70,2,FALSE))</f>
        <v/>
      </c>
      <c r="K1050" s="35" t="str">
        <f>IF(ISBLANK(A1050),"",VLOOKUP(J1050,RELACIONES!$B$3:$E$83,4,FALSE)*E1050)</f>
        <v/>
      </c>
    </row>
    <row r="1051" ht="15.75" customHeight="1">
      <c r="A1051" s="50"/>
      <c r="B1051" s="50"/>
      <c r="C1051" s="50"/>
      <c r="D1051" s="50"/>
      <c r="E1051" s="50"/>
      <c r="F1051" s="50"/>
      <c r="G1051" s="50"/>
      <c r="H1051" s="50"/>
      <c r="I1051" s="34" t="str">
        <f>IF(ISBLANK(A1051),"",VLOOKUP(A1051,RELACIONES!$G$3:$H$65,2,FALSE()))</f>
        <v/>
      </c>
      <c r="J1051" s="35" t="str">
        <f>IF(ISBLANK(A1051),"",VLOOKUP(C1051,RELACIONES!$A$3:$B$70,2,FALSE))</f>
        <v/>
      </c>
      <c r="K1051" s="35" t="str">
        <f>IF(ISBLANK(A1051),"",VLOOKUP(J1051,RELACIONES!$B$3:$E$83,4,FALSE)*E1051)</f>
        <v/>
      </c>
    </row>
    <row r="1052" ht="15.75" customHeight="1">
      <c r="A1052" s="50"/>
      <c r="B1052" s="50"/>
      <c r="C1052" s="50"/>
      <c r="D1052" s="50"/>
      <c r="E1052" s="50"/>
      <c r="F1052" s="50"/>
      <c r="G1052" s="50"/>
      <c r="H1052" s="50"/>
      <c r="I1052" s="34" t="str">
        <f>IF(ISBLANK(A1052),"",VLOOKUP(A1052,RELACIONES!$G$3:$H$65,2,FALSE()))</f>
        <v/>
      </c>
      <c r="J1052" s="35" t="str">
        <f>IF(ISBLANK(A1052),"",VLOOKUP(C1052,RELACIONES!$A$3:$B$70,2,FALSE))</f>
        <v/>
      </c>
      <c r="K1052" s="35" t="str">
        <f>IF(ISBLANK(A1052),"",VLOOKUP(J1052,RELACIONES!$B$3:$E$83,4,FALSE)*E1052)</f>
        <v/>
      </c>
    </row>
    <row r="1053" ht="15.75" customHeight="1">
      <c r="A1053" s="50"/>
      <c r="B1053" s="50"/>
      <c r="C1053" s="50"/>
      <c r="D1053" s="50"/>
      <c r="E1053" s="50"/>
      <c r="F1053" s="50"/>
      <c r="G1053" s="50"/>
      <c r="H1053" s="50"/>
      <c r="I1053" s="34" t="str">
        <f>IF(ISBLANK(A1053),"",VLOOKUP(A1053,RELACIONES!$G$3:$H$65,2,FALSE()))</f>
        <v/>
      </c>
      <c r="J1053" s="35" t="str">
        <f>IF(ISBLANK(A1053),"",VLOOKUP(C1053,RELACIONES!$A$3:$B$70,2,FALSE))</f>
        <v/>
      </c>
      <c r="K1053" s="35" t="str">
        <f>IF(ISBLANK(A1053),"",VLOOKUP(J1053,RELACIONES!$B$3:$E$83,4,FALSE)*E1053)</f>
        <v/>
      </c>
    </row>
    <row r="1054" ht="15.75" customHeight="1">
      <c r="A1054" s="50"/>
      <c r="B1054" s="50"/>
      <c r="C1054" s="50"/>
      <c r="D1054" s="50"/>
      <c r="E1054" s="50"/>
      <c r="F1054" s="50"/>
      <c r="G1054" s="50"/>
      <c r="H1054" s="50"/>
      <c r="I1054" s="34" t="str">
        <f>IF(ISBLANK(A1054),"",VLOOKUP(A1054,RELACIONES!$G$3:$H$65,2,FALSE()))</f>
        <v/>
      </c>
      <c r="J1054" s="35" t="str">
        <f>IF(ISBLANK(A1054),"",VLOOKUP(C1054,RELACIONES!$A$3:$B$70,2,FALSE))</f>
        <v/>
      </c>
      <c r="K1054" s="35" t="str">
        <f>IF(ISBLANK(A1054),"",VLOOKUP(J1054,RELACIONES!$B$3:$E$83,4,FALSE)*E1054)</f>
        <v/>
      </c>
    </row>
    <row r="1055" ht="15.75" customHeight="1">
      <c r="A1055" s="50"/>
      <c r="B1055" s="50"/>
      <c r="C1055" s="50"/>
      <c r="D1055" s="50"/>
      <c r="E1055" s="50"/>
      <c r="F1055" s="50"/>
      <c r="G1055" s="50"/>
      <c r="H1055" s="50"/>
      <c r="I1055" s="34" t="str">
        <f>IF(ISBLANK(A1055),"",VLOOKUP(A1055,RELACIONES!$G$3:$H$65,2,FALSE()))</f>
        <v/>
      </c>
      <c r="J1055" s="35" t="str">
        <f>IF(ISBLANK(A1055),"",VLOOKUP(C1055,RELACIONES!$A$3:$B$70,2,FALSE))</f>
        <v/>
      </c>
      <c r="K1055" s="35" t="str">
        <f>IF(ISBLANK(A1055),"",VLOOKUP(J1055,RELACIONES!$B$3:$E$83,4,FALSE)*E1055)</f>
        <v/>
      </c>
    </row>
    <row r="1056" ht="15.75" customHeight="1">
      <c r="A1056" s="50"/>
      <c r="B1056" s="50"/>
      <c r="C1056" s="50"/>
      <c r="D1056" s="50"/>
      <c r="E1056" s="50"/>
      <c r="F1056" s="50"/>
      <c r="G1056" s="50"/>
      <c r="H1056" s="50"/>
      <c r="I1056" s="34" t="str">
        <f>IF(ISBLANK(A1056),"",VLOOKUP(A1056,RELACIONES!$G$3:$H$65,2,FALSE()))</f>
        <v/>
      </c>
      <c r="J1056" s="35" t="str">
        <f>IF(ISBLANK(A1056),"",VLOOKUP(C1056,RELACIONES!$A$3:$B$70,2,FALSE))</f>
        <v/>
      </c>
      <c r="K1056" s="35" t="str">
        <f>IF(ISBLANK(A1056),"",VLOOKUP(J1056,RELACIONES!$B$3:$E$83,4,FALSE)*E1056)</f>
        <v/>
      </c>
    </row>
    <row r="1057" ht="15.75" customHeight="1">
      <c r="A1057" s="50"/>
      <c r="B1057" s="50"/>
      <c r="C1057" s="50"/>
      <c r="D1057" s="50"/>
      <c r="E1057" s="50"/>
      <c r="F1057" s="50"/>
      <c r="G1057" s="50"/>
      <c r="H1057" s="50"/>
      <c r="I1057" s="34" t="str">
        <f>IF(ISBLANK(A1057),"",VLOOKUP(A1057,RELACIONES!$G$3:$H$65,2,FALSE()))</f>
        <v/>
      </c>
      <c r="J1057" s="35" t="str">
        <f>IF(ISBLANK(A1057),"",VLOOKUP(C1057,RELACIONES!$A$3:$B$70,2,FALSE))</f>
        <v/>
      </c>
      <c r="K1057" s="35" t="str">
        <f>IF(ISBLANK(A1057),"",VLOOKUP(J1057,RELACIONES!$B$3:$E$83,4,FALSE)*E1057)</f>
        <v/>
      </c>
    </row>
    <row r="1058" ht="15.75" customHeight="1">
      <c r="A1058" s="50"/>
      <c r="B1058" s="50"/>
      <c r="C1058" s="50"/>
      <c r="D1058" s="50"/>
      <c r="E1058" s="50"/>
      <c r="F1058" s="50"/>
      <c r="G1058" s="50"/>
      <c r="H1058" s="50"/>
      <c r="I1058" s="34" t="str">
        <f>IF(ISBLANK(A1058),"",VLOOKUP(A1058,RELACIONES!$G$3:$H$65,2,FALSE()))</f>
        <v/>
      </c>
      <c r="J1058" s="35" t="str">
        <f>IF(ISBLANK(A1058),"",VLOOKUP(C1058,RELACIONES!$A$3:$B$70,2,FALSE))</f>
        <v/>
      </c>
      <c r="K1058" s="35" t="str">
        <f>IF(ISBLANK(A1058),"",VLOOKUP(J1058,RELACIONES!$B$3:$E$83,4,FALSE)*E1058)</f>
        <v/>
      </c>
    </row>
    <row r="1059" ht="15.75" customHeight="1">
      <c r="A1059" s="50"/>
      <c r="B1059" s="50"/>
      <c r="C1059" s="50"/>
      <c r="D1059" s="50"/>
      <c r="E1059" s="50"/>
      <c r="F1059" s="50"/>
      <c r="G1059" s="50"/>
      <c r="H1059" s="50"/>
      <c r="I1059" s="34" t="str">
        <f>IF(ISBLANK(A1059),"",VLOOKUP(A1059,RELACIONES!$G$3:$H$65,2,FALSE()))</f>
        <v/>
      </c>
      <c r="J1059" s="35" t="str">
        <f>IF(ISBLANK(A1059),"",VLOOKUP(C1059,RELACIONES!$A$3:$B$70,2,FALSE))</f>
        <v/>
      </c>
      <c r="K1059" s="35" t="str">
        <f>IF(ISBLANK(A1059),"",VLOOKUP(J1059,RELACIONES!$B$3:$E$83,4,FALSE)*E1059)</f>
        <v/>
      </c>
    </row>
    <row r="1060" ht="15.75" customHeight="1">
      <c r="A1060" s="50"/>
      <c r="B1060" s="50"/>
      <c r="C1060" s="50"/>
      <c r="D1060" s="50"/>
      <c r="E1060" s="50"/>
      <c r="F1060" s="50"/>
      <c r="G1060" s="50"/>
      <c r="H1060" s="50"/>
      <c r="I1060" s="34" t="str">
        <f>IF(ISBLANK(A1060),"",VLOOKUP(A1060,RELACIONES!$G$3:$H$65,2,FALSE()))</f>
        <v/>
      </c>
      <c r="J1060" s="35" t="str">
        <f>IF(ISBLANK(A1060),"",VLOOKUP(C1060,RELACIONES!$A$3:$B$70,2,FALSE))</f>
        <v/>
      </c>
      <c r="K1060" s="35" t="str">
        <f>IF(ISBLANK(A1060),"",VLOOKUP(J1060,RELACIONES!$B$3:$E$83,4,FALSE)*E1060)</f>
        <v/>
      </c>
    </row>
    <row r="1061" ht="15.75" customHeight="1">
      <c r="A1061" s="50"/>
      <c r="B1061" s="50"/>
      <c r="C1061" s="50"/>
      <c r="D1061" s="50"/>
      <c r="E1061" s="50"/>
      <c r="F1061" s="50"/>
      <c r="G1061" s="50"/>
      <c r="H1061" s="50"/>
      <c r="I1061" s="34" t="str">
        <f>IF(ISBLANK(A1061),"",VLOOKUP(A1061,RELACIONES!$G$3:$H$65,2,FALSE()))</f>
        <v/>
      </c>
      <c r="J1061" s="35" t="str">
        <f>IF(ISBLANK(A1061),"",VLOOKUP(C1061,RELACIONES!$A$3:$B$70,2,FALSE))</f>
        <v/>
      </c>
      <c r="K1061" s="35" t="str">
        <f>IF(ISBLANK(A1061),"",VLOOKUP(J1061,RELACIONES!$B$3:$E$83,4,FALSE)*E1061)</f>
        <v/>
      </c>
    </row>
    <row r="1062" ht="15.75" customHeight="1">
      <c r="A1062" s="50"/>
      <c r="B1062" s="50"/>
      <c r="C1062" s="50"/>
      <c r="D1062" s="50"/>
      <c r="E1062" s="50"/>
      <c r="F1062" s="50"/>
      <c r="G1062" s="50"/>
      <c r="H1062" s="50"/>
      <c r="I1062" s="34" t="str">
        <f>IF(ISBLANK(A1062),"",VLOOKUP(A1062,RELACIONES!$G$3:$H$65,2,FALSE()))</f>
        <v/>
      </c>
      <c r="J1062" s="35" t="str">
        <f>IF(ISBLANK(A1062),"",VLOOKUP(C1062,RELACIONES!$A$3:$B$70,2,FALSE))</f>
        <v/>
      </c>
      <c r="K1062" s="35" t="str">
        <f>IF(ISBLANK(A1062),"",VLOOKUP(J1062,RELACIONES!$B$3:$E$83,4,FALSE)*E1062)</f>
        <v/>
      </c>
    </row>
    <row r="1063" ht="15.75" customHeight="1">
      <c r="A1063" s="50"/>
      <c r="B1063" s="50"/>
      <c r="C1063" s="50"/>
      <c r="D1063" s="50"/>
      <c r="E1063" s="50"/>
      <c r="F1063" s="50"/>
      <c r="G1063" s="50"/>
      <c r="H1063" s="50"/>
      <c r="I1063" s="34" t="str">
        <f>IF(ISBLANK(A1063),"",VLOOKUP(A1063,RELACIONES!$G$3:$H$65,2,FALSE()))</f>
        <v/>
      </c>
      <c r="J1063" s="35" t="str">
        <f>IF(ISBLANK(A1063),"",VLOOKUP(C1063,RELACIONES!$A$3:$B$70,2,FALSE))</f>
        <v/>
      </c>
      <c r="K1063" s="35" t="str">
        <f>IF(ISBLANK(A1063),"",VLOOKUP(J1063,RELACIONES!$B$3:$E$83,4,FALSE)*E1063)</f>
        <v/>
      </c>
    </row>
    <row r="1064" ht="15.75" customHeight="1">
      <c r="A1064" s="50"/>
      <c r="B1064" s="50"/>
      <c r="C1064" s="50"/>
      <c r="D1064" s="50"/>
      <c r="E1064" s="50"/>
      <c r="F1064" s="50"/>
      <c r="G1064" s="50"/>
      <c r="H1064" s="50"/>
      <c r="I1064" s="34" t="str">
        <f>IF(ISBLANK(A1064),"",VLOOKUP(A1064,RELACIONES!$G$3:$H$65,2,FALSE()))</f>
        <v/>
      </c>
      <c r="J1064" s="35" t="str">
        <f>IF(ISBLANK(A1064),"",VLOOKUP(C1064,RELACIONES!$A$3:$B$70,2,FALSE))</f>
        <v/>
      </c>
      <c r="K1064" s="35" t="str">
        <f>IF(ISBLANK(A1064),"",VLOOKUP(J1064,RELACIONES!$B$3:$E$83,4,FALSE)*E1064)</f>
        <v/>
      </c>
    </row>
    <row r="1065" ht="15.75" customHeight="1">
      <c r="A1065" s="50"/>
      <c r="B1065" s="50"/>
      <c r="C1065" s="50"/>
      <c r="D1065" s="50"/>
      <c r="E1065" s="50"/>
      <c r="F1065" s="50"/>
      <c r="G1065" s="50"/>
      <c r="H1065" s="50"/>
      <c r="I1065" s="34" t="str">
        <f>IF(ISBLANK(A1065),"",VLOOKUP(A1065,RELACIONES!$G$3:$H$65,2,FALSE()))</f>
        <v/>
      </c>
      <c r="J1065" s="35" t="str">
        <f>IF(ISBLANK(A1065),"",VLOOKUP(C1065,RELACIONES!$A$3:$B$70,2,FALSE))</f>
        <v/>
      </c>
      <c r="K1065" s="35" t="str">
        <f>IF(ISBLANK(A1065),"",VLOOKUP(J1065,RELACIONES!$B$3:$E$83,4,FALSE)*E1065)</f>
        <v/>
      </c>
    </row>
    <row r="1066" ht="15.75" customHeight="1">
      <c r="A1066" s="50"/>
      <c r="B1066" s="50"/>
      <c r="C1066" s="50"/>
      <c r="D1066" s="50"/>
      <c r="E1066" s="50"/>
      <c r="F1066" s="50"/>
      <c r="G1066" s="50"/>
      <c r="H1066" s="50"/>
      <c r="I1066" s="34" t="str">
        <f>IF(ISBLANK(A1066),"",VLOOKUP(A1066,RELACIONES!$G$3:$H$65,2,FALSE()))</f>
        <v/>
      </c>
      <c r="J1066" s="35" t="str">
        <f>IF(ISBLANK(A1066),"",VLOOKUP(C1066,RELACIONES!$A$3:$B$70,2,FALSE))</f>
        <v/>
      </c>
      <c r="K1066" s="35" t="str">
        <f>IF(ISBLANK(A1066),"",VLOOKUP(J1066,RELACIONES!$B$3:$E$83,4,FALSE)*E1066)</f>
        <v/>
      </c>
    </row>
    <row r="1067" ht="15.75" customHeight="1">
      <c r="A1067" s="50"/>
      <c r="B1067" s="50"/>
      <c r="C1067" s="50"/>
      <c r="D1067" s="50"/>
      <c r="E1067" s="50"/>
      <c r="F1067" s="50"/>
      <c r="G1067" s="50"/>
      <c r="H1067" s="50"/>
      <c r="I1067" s="34" t="str">
        <f>IF(ISBLANK(A1067),"",VLOOKUP(A1067,RELACIONES!$G$3:$H$65,2,FALSE()))</f>
        <v/>
      </c>
      <c r="J1067" s="35" t="str">
        <f>IF(ISBLANK(A1067),"",VLOOKUP(C1067,RELACIONES!$A$3:$B$70,2,FALSE))</f>
        <v/>
      </c>
      <c r="K1067" s="35" t="str">
        <f>IF(ISBLANK(A1067),"",VLOOKUP(J1067,RELACIONES!$B$3:$E$83,4,FALSE)*E1067)</f>
        <v/>
      </c>
    </row>
    <row r="1068" ht="15.75" customHeight="1">
      <c r="A1068" s="50"/>
      <c r="B1068" s="50"/>
      <c r="C1068" s="50"/>
      <c r="D1068" s="50"/>
      <c r="E1068" s="50"/>
      <c r="F1068" s="50"/>
      <c r="G1068" s="50"/>
      <c r="H1068" s="50"/>
      <c r="I1068" s="34" t="str">
        <f>IF(ISBLANK(A1068),"",VLOOKUP(A1068,RELACIONES!$G$3:$H$65,2,FALSE()))</f>
        <v/>
      </c>
      <c r="J1068" s="35" t="str">
        <f>IF(ISBLANK(A1068),"",VLOOKUP(C1068,RELACIONES!$A$3:$B$70,2,FALSE))</f>
        <v/>
      </c>
      <c r="K1068" s="35" t="str">
        <f>IF(ISBLANK(A1068),"",VLOOKUP(J1068,RELACIONES!$B$3:$E$83,4,FALSE)*E1068)</f>
        <v/>
      </c>
    </row>
    <row r="1069" ht="15.75" customHeight="1">
      <c r="A1069" s="50"/>
      <c r="B1069" s="50"/>
      <c r="C1069" s="50"/>
      <c r="D1069" s="50"/>
      <c r="E1069" s="50"/>
      <c r="F1069" s="50"/>
      <c r="G1069" s="50"/>
      <c r="H1069" s="50"/>
      <c r="I1069" s="34" t="str">
        <f>IF(ISBLANK(A1069),"",VLOOKUP(A1069,RELACIONES!$G$3:$H$65,2,FALSE()))</f>
        <v/>
      </c>
      <c r="J1069" s="35" t="str">
        <f>IF(ISBLANK(A1069),"",VLOOKUP(C1069,RELACIONES!$A$3:$B$70,2,FALSE))</f>
        <v/>
      </c>
      <c r="K1069" s="35" t="str">
        <f>IF(ISBLANK(A1069),"",VLOOKUP(J1069,RELACIONES!$B$3:$E$83,4,FALSE)*E1069)</f>
        <v/>
      </c>
    </row>
    <row r="1070" ht="15.75" customHeight="1">
      <c r="A1070" s="50"/>
      <c r="B1070" s="50"/>
      <c r="C1070" s="50"/>
      <c r="D1070" s="50"/>
      <c r="E1070" s="50"/>
      <c r="F1070" s="50"/>
      <c r="G1070" s="50"/>
      <c r="H1070" s="50"/>
      <c r="I1070" s="34" t="str">
        <f>IF(ISBLANK(A1070),"",VLOOKUP(A1070,RELACIONES!$G$3:$H$65,2,FALSE()))</f>
        <v/>
      </c>
      <c r="J1070" s="35" t="str">
        <f>IF(ISBLANK(A1070),"",VLOOKUP(C1070,RELACIONES!$A$3:$B$70,2,FALSE))</f>
        <v/>
      </c>
      <c r="K1070" s="35" t="str">
        <f>IF(ISBLANK(A1070),"",VLOOKUP(J1070,RELACIONES!$B$3:$E$83,4,FALSE)*E1070)</f>
        <v/>
      </c>
    </row>
    <row r="1071" ht="15.75" customHeight="1">
      <c r="A1071" s="50"/>
      <c r="B1071" s="50"/>
      <c r="C1071" s="50"/>
      <c r="D1071" s="50"/>
      <c r="E1071" s="50"/>
      <c r="F1071" s="50"/>
      <c r="G1071" s="50"/>
      <c r="H1071" s="50"/>
      <c r="I1071" s="34" t="str">
        <f>IF(ISBLANK(A1071),"",VLOOKUP(A1071,RELACIONES!$G$3:$H$65,2,FALSE()))</f>
        <v/>
      </c>
      <c r="J1071" s="35" t="str">
        <f>IF(ISBLANK(A1071),"",VLOOKUP(C1071,RELACIONES!$A$3:$B$70,2,FALSE))</f>
        <v/>
      </c>
      <c r="K1071" s="35" t="str">
        <f>IF(ISBLANK(A1071),"",VLOOKUP(J1071,RELACIONES!$B$3:$E$83,4,FALSE)*E1071)</f>
        <v/>
      </c>
    </row>
    <row r="1072" ht="15.75" customHeight="1">
      <c r="A1072" s="50"/>
      <c r="B1072" s="50"/>
      <c r="C1072" s="50"/>
      <c r="D1072" s="50"/>
      <c r="E1072" s="50"/>
      <c r="F1072" s="50"/>
      <c r="G1072" s="50"/>
      <c r="H1072" s="50"/>
      <c r="I1072" s="34" t="str">
        <f>IF(ISBLANK(A1072),"",VLOOKUP(A1072,RELACIONES!$G$3:$H$65,2,FALSE()))</f>
        <v/>
      </c>
      <c r="J1072" s="35" t="str">
        <f>IF(ISBLANK(A1072),"",VLOOKUP(C1072,RELACIONES!$A$3:$B$70,2,FALSE))</f>
        <v/>
      </c>
      <c r="K1072" s="35" t="str">
        <f>IF(ISBLANK(A1072),"",VLOOKUP(J1072,RELACIONES!$B$3:$E$83,4,FALSE)*E1072)</f>
        <v/>
      </c>
    </row>
    <row r="1073" ht="15.75" customHeight="1">
      <c r="A1073" s="50"/>
      <c r="B1073" s="50"/>
      <c r="C1073" s="50"/>
      <c r="D1073" s="50"/>
      <c r="E1073" s="50"/>
      <c r="F1073" s="50"/>
      <c r="G1073" s="50"/>
      <c r="H1073" s="50"/>
      <c r="I1073" s="34" t="str">
        <f>IF(ISBLANK(A1073),"",VLOOKUP(A1073,RELACIONES!$G$3:$H$65,2,FALSE()))</f>
        <v/>
      </c>
      <c r="J1073" s="35" t="str">
        <f>IF(ISBLANK(A1073),"",VLOOKUP(C1073,RELACIONES!$A$3:$B$70,2,FALSE))</f>
        <v/>
      </c>
      <c r="K1073" s="35" t="str">
        <f>IF(ISBLANK(A1073),"",VLOOKUP(J1073,RELACIONES!$B$3:$E$83,4,FALSE)*E1073)</f>
        <v/>
      </c>
    </row>
    <row r="1074" ht="15.75" customHeight="1">
      <c r="A1074" s="50"/>
      <c r="B1074" s="50"/>
      <c r="C1074" s="50"/>
      <c r="D1074" s="50"/>
      <c r="E1074" s="50"/>
      <c r="F1074" s="50"/>
      <c r="G1074" s="50"/>
      <c r="H1074" s="50"/>
      <c r="I1074" s="34" t="str">
        <f>IF(ISBLANK(A1074),"",VLOOKUP(A1074,RELACIONES!$G$3:$H$65,2,FALSE()))</f>
        <v/>
      </c>
      <c r="J1074" s="35" t="str">
        <f>IF(ISBLANK(A1074),"",VLOOKUP(C1074,RELACIONES!$A$3:$B$70,2,FALSE))</f>
        <v/>
      </c>
      <c r="K1074" s="35" t="str">
        <f>IF(ISBLANK(A1074),"",VLOOKUP(J1074,RELACIONES!$B$3:$E$83,4,FALSE)*E1074)</f>
        <v/>
      </c>
    </row>
    <row r="1075" ht="15.75" customHeight="1">
      <c r="A1075" s="50"/>
      <c r="B1075" s="50"/>
      <c r="C1075" s="50"/>
      <c r="D1075" s="50"/>
      <c r="E1075" s="50"/>
      <c r="F1075" s="50"/>
      <c r="G1075" s="50"/>
      <c r="H1075" s="50"/>
      <c r="I1075" s="34" t="str">
        <f>IF(ISBLANK(A1075),"",VLOOKUP(A1075,RELACIONES!$G$3:$H$65,2,FALSE()))</f>
        <v/>
      </c>
      <c r="J1075" s="35" t="str">
        <f>IF(ISBLANK(A1075),"",VLOOKUP(C1075,RELACIONES!$A$3:$B$70,2,FALSE))</f>
        <v/>
      </c>
      <c r="K1075" s="35" t="str">
        <f>IF(ISBLANK(A1075),"",VLOOKUP(J1075,RELACIONES!$B$3:$E$83,4,FALSE)*E1075)</f>
        <v/>
      </c>
    </row>
    <row r="1076" ht="15.75" customHeight="1">
      <c r="A1076" s="50"/>
      <c r="B1076" s="50"/>
      <c r="C1076" s="50"/>
      <c r="D1076" s="50"/>
      <c r="E1076" s="50"/>
      <c r="F1076" s="50"/>
      <c r="G1076" s="50"/>
      <c r="H1076" s="50"/>
      <c r="I1076" s="34" t="str">
        <f>IF(ISBLANK(A1076),"",VLOOKUP(A1076,RELACIONES!$G$3:$H$65,2,FALSE()))</f>
        <v/>
      </c>
      <c r="J1076" s="35" t="str">
        <f>IF(ISBLANK(A1076),"",VLOOKUP(C1076,RELACIONES!$A$3:$B$70,2,FALSE))</f>
        <v/>
      </c>
      <c r="K1076" s="35" t="str">
        <f>IF(ISBLANK(A1076),"",VLOOKUP(J1076,RELACIONES!$B$3:$E$83,4,FALSE)*E1076)</f>
        <v/>
      </c>
    </row>
    <row r="1077" ht="15.75" customHeight="1">
      <c r="A1077" s="50"/>
      <c r="B1077" s="50"/>
      <c r="C1077" s="50"/>
      <c r="D1077" s="50"/>
      <c r="E1077" s="50"/>
      <c r="F1077" s="50"/>
      <c r="G1077" s="50"/>
      <c r="H1077" s="50"/>
      <c r="I1077" s="34" t="str">
        <f>IF(ISBLANK(A1077),"",VLOOKUP(A1077,RELACIONES!$G$3:$H$65,2,FALSE()))</f>
        <v/>
      </c>
      <c r="J1077" s="35" t="str">
        <f>IF(ISBLANK(A1077),"",VLOOKUP(C1077,RELACIONES!$A$3:$B$70,2,FALSE))</f>
        <v/>
      </c>
      <c r="K1077" s="35" t="str">
        <f>IF(ISBLANK(A1077),"",VLOOKUP(J1077,RELACIONES!$B$3:$E$83,4,FALSE)*E1077)</f>
        <v/>
      </c>
    </row>
    <row r="1078" ht="15.75" customHeight="1">
      <c r="A1078" s="50"/>
      <c r="B1078" s="50"/>
      <c r="C1078" s="50"/>
      <c r="D1078" s="50"/>
      <c r="E1078" s="50"/>
      <c r="F1078" s="50"/>
      <c r="G1078" s="50"/>
      <c r="H1078" s="50"/>
      <c r="I1078" s="34" t="str">
        <f>IF(ISBLANK(A1078),"",VLOOKUP(A1078,RELACIONES!$G$3:$H$65,2,FALSE()))</f>
        <v/>
      </c>
      <c r="J1078" s="35" t="str">
        <f>IF(ISBLANK(A1078),"",VLOOKUP(C1078,RELACIONES!$A$3:$B$70,2,FALSE))</f>
        <v/>
      </c>
      <c r="K1078" s="35" t="str">
        <f>IF(ISBLANK(A1078),"",VLOOKUP(J1078,RELACIONES!$B$3:$E$83,4,FALSE)*E1078)</f>
        <v/>
      </c>
    </row>
    <row r="1079" ht="15.75" customHeight="1">
      <c r="A1079" s="50"/>
      <c r="B1079" s="50"/>
      <c r="C1079" s="50"/>
      <c r="D1079" s="50"/>
      <c r="E1079" s="50"/>
      <c r="F1079" s="50"/>
      <c r="G1079" s="50"/>
      <c r="H1079" s="50"/>
      <c r="I1079" s="34" t="str">
        <f>IF(ISBLANK(A1079),"",VLOOKUP(A1079,RELACIONES!$G$3:$H$65,2,FALSE()))</f>
        <v/>
      </c>
      <c r="J1079" s="35" t="str">
        <f>IF(ISBLANK(A1079),"",VLOOKUP(C1079,RELACIONES!$A$3:$B$70,2,FALSE))</f>
        <v/>
      </c>
      <c r="K1079" s="35" t="str">
        <f>IF(ISBLANK(A1079),"",VLOOKUP(J1079,RELACIONES!$B$3:$E$83,4,FALSE)*E1079)</f>
        <v/>
      </c>
    </row>
    <row r="1080" ht="15.75" customHeight="1">
      <c r="A1080" s="50"/>
      <c r="B1080" s="50"/>
      <c r="C1080" s="50"/>
      <c r="D1080" s="50"/>
      <c r="E1080" s="50"/>
      <c r="F1080" s="50"/>
      <c r="G1080" s="50"/>
      <c r="H1080" s="50"/>
      <c r="I1080" s="34" t="str">
        <f>IF(ISBLANK(A1080),"",VLOOKUP(A1080,RELACIONES!$G$3:$H$65,2,FALSE()))</f>
        <v/>
      </c>
      <c r="J1080" s="35" t="str">
        <f>IF(ISBLANK(A1080),"",VLOOKUP(C1080,RELACIONES!$A$3:$B$70,2,FALSE))</f>
        <v/>
      </c>
      <c r="K1080" s="35" t="str">
        <f>IF(ISBLANK(A1080),"",VLOOKUP(J1080,RELACIONES!$B$3:$E$83,4,FALSE)*E1080)</f>
        <v/>
      </c>
    </row>
    <row r="1081" ht="15.75" customHeight="1">
      <c r="A1081" s="50"/>
      <c r="B1081" s="50"/>
      <c r="C1081" s="50"/>
      <c r="D1081" s="50"/>
      <c r="E1081" s="50"/>
      <c r="F1081" s="50"/>
      <c r="G1081" s="50"/>
      <c r="H1081" s="50"/>
      <c r="I1081" s="34" t="str">
        <f>IF(ISBLANK(A1081),"",VLOOKUP(A1081,RELACIONES!$G$3:$H$65,2,FALSE()))</f>
        <v/>
      </c>
      <c r="J1081" s="35" t="str">
        <f>IF(ISBLANK(A1081),"",VLOOKUP(C1081,RELACIONES!$A$3:$B$70,2,FALSE))</f>
        <v/>
      </c>
      <c r="K1081" s="35" t="str">
        <f>IF(ISBLANK(A1081),"",VLOOKUP(J1081,RELACIONES!$B$3:$E$83,4,FALSE)*E1081)</f>
        <v/>
      </c>
    </row>
    <row r="1082" ht="15.75" customHeight="1">
      <c r="A1082" s="50"/>
      <c r="B1082" s="50"/>
      <c r="C1082" s="50"/>
      <c r="D1082" s="50"/>
      <c r="E1082" s="50"/>
      <c r="F1082" s="50"/>
      <c r="G1082" s="50"/>
      <c r="H1082" s="50"/>
      <c r="I1082" s="34" t="str">
        <f>IF(ISBLANK(A1082),"",VLOOKUP(A1082,RELACIONES!$G$3:$H$65,2,FALSE()))</f>
        <v/>
      </c>
      <c r="J1082" s="35" t="str">
        <f>IF(ISBLANK(A1082),"",VLOOKUP(C1082,RELACIONES!$A$3:$B$70,2,FALSE))</f>
        <v/>
      </c>
      <c r="K1082" s="35" t="str">
        <f>IF(ISBLANK(A1082),"",VLOOKUP(J1082,RELACIONES!$B$3:$E$83,4,FALSE)*E1082)</f>
        <v/>
      </c>
    </row>
    <row r="1083" ht="15.75" customHeight="1">
      <c r="A1083" s="50"/>
      <c r="B1083" s="50"/>
      <c r="C1083" s="50"/>
      <c r="D1083" s="50"/>
      <c r="E1083" s="50"/>
      <c r="F1083" s="50"/>
      <c r="G1083" s="50"/>
      <c r="H1083" s="50"/>
      <c r="I1083" s="34" t="str">
        <f>IF(ISBLANK(A1083),"",VLOOKUP(A1083,RELACIONES!$G$3:$H$65,2,FALSE()))</f>
        <v/>
      </c>
      <c r="J1083" s="35" t="str">
        <f>IF(ISBLANK(A1083),"",VLOOKUP(C1083,RELACIONES!$A$3:$B$70,2,FALSE))</f>
        <v/>
      </c>
      <c r="K1083" s="35" t="str">
        <f>IF(ISBLANK(A1083),"",VLOOKUP(J1083,RELACIONES!$B$3:$E$83,4,FALSE)*E1083)</f>
        <v/>
      </c>
    </row>
    <row r="1084" ht="15.75" customHeight="1">
      <c r="A1084" s="50"/>
      <c r="B1084" s="50"/>
      <c r="C1084" s="50"/>
      <c r="D1084" s="50"/>
      <c r="E1084" s="50"/>
      <c r="F1084" s="50"/>
      <c r="G1084" s="50"/>
      <c r="H1084" s="50"/>
      <c r="I1084" s="34" t="str">
        <f>IF(ISBLANK(A1084),"",VLOOKUP(A1084,RELACIONES!$G$3:$H$65,2,FALSE()))</f>
        <v/>
      </c>
      <c r="J1084" s="35" t="str">
        <f>IF(ISBLANK(A1084),"",VLOOKUP(C1084,RELACIONES!$A$3:$B$70,2,FALSE))</f>
        <v/>
      </c>
      <c r="K1084" s="35" t="str">
        <f>IF(ISBLANK(A1084),"",VLOOKUP(J1084,RELACIONES!$B$3:$E$83,4,FALSE)*E1084)</f>
        <v/>
      </c>
    </row>
    <row r="1085" ht="15.75" customHeight="1">
      <c r="A1085" s="50"/>
      <c r="B1085" s="50"/>
      <c r="C1085" s="50"/>
      <c r="D1085" s="50"/>
      <c r="E1085" s="50"/>
      <c r="F1085" s="50"/>
      <c r="G1085" s="50"/>
      <c r="H1085" s="50"/>
      <c r="I1085" s="34" t="str">
        <f>IF(ISBLANK(A1085),"",VLOOKUP(A1085,RELACIONES!$G$3:$H$65,2,FALSE()))</f>
        <v/>
      </c>
      <c r="J1085" s="35" t="str">
        <f>IF(ISBLANK(A1085),"",VLOOKUP(C1085,RELACIONES!$A$3:$B$70,2,FALSE))</f>
        <v/>
      </c>
      <c r="K1085" s="35" t="str">
        <f>IF(ISBLANK(A1085),"",VLOOKUP(J1085,RELACIONES!$B$3:$E$83,4,FALSE)*E1085)</f>
        <v/>
      </c>
    </row>
    <row r="1086" ht="15.75" customHeight="1">
      <c r="A1086" s="50"/>
      <c r="B1086" s="50"/>
      <c r="C1086" s="50"/>
      <c r="D1086" s="50"/>
      <c r="E1086" s="50"/>
      <c r="F1086" s="50"/>
      <c r="G1086" s="50"/>
      <c r="H1086" s="50"/>
      <c r="I1086" s="34" t="str">
        <f>IF(ISBLANK(A1086),"",VLOOKUP(A1086,RELACIONES!$G$3:$H$65,2,FALSE()))</f>
        <v/>
      </c>
      <c r="J1086" s="35" t="str">
        <f>IF(ISBLANK(A1086),"",VLOOKUP(C1086,RELACIONES!$A$3:$B$70,2,FALSE))</f>
        <v/>
      </c>
      <c r="K1086" s="35" t="str">
        <f>IF(ISBLANK(A1086),"",VLOOKUP(J1086,RELACIONES!$B$3:$E$83,4,FALSE)*E1086)</f>
        <v/>
      </c>
    </row>
    <row r="1087" ht="15.75" customHeight="1">
      <c r="A1087" s="50"/>
      <c r="B1087" s="50"/>
      <c r="C1087" s="50"/>
      <c r="D1087" s="50"/>
      <c r="E1087" s="50"/>
      <c r="F1087" s="50"/>
      <c r="G1087" s="50"/>
      <c r="H1087" s="50"/>
      <c r="I1087" s="34" t="str">
        <f>IF(ISBLANK(A1087),"",VLOOKUP(A1087,RELACIONES!$G$3:$H$65,2,FALSE()))</f>
        <v/>
      </c>
      <c r="J1087" s="35" t="str">
        <f>IF(ISBLANK(A1087),"",VLOOKUP(C1087,RELACIONES!$A$3:$B$70,2,FALSE))</f>
        <v/>
      </c>
      <c r="K1087" s="35" t="str">
        <f>IF(ISBLANK(A1087),"",VLOOKUP(J1087,RELACIONES!$B$3:$E$83,4,FALSE)*E1087)</f>
        <v/>
      </c>
    </row>
    <row r="1088" ht="15.75" customHeight="1">
      <c r="A1088" s="50"/>
      <c r="B1088" s="50"/>
      <c r="C1088" s="50"/>
      <c r="D1088" s="50"/>
      <c r="E1088" s="50"/>
      <c r="F1088" s="50"/>
      <c r="G1088" s="50"/>
      <c r="H1088" s="50"/>
      <c r="I1088" s="34" t="str">
        <f>IF(ISBLANK(A1088),"",VLOOKUP(A1088,RELACIONES!$G$3:$H$65,2,FALSE()))</f>
        <v/>
      </c>
      <c r="J1088" s="35" t="str">
        <f>IF(ISBLANK(A1088),"",VLOOKUP(C1088,RELACIONES!$A$3:$B$70,2,FALSE))</f>
        <v/>
      </c>
      <c r="K1088" s="35" t="str">
        <f>IF(ISBLANK(A1088),"",VLOOKUP(J1088,RELACIONES!$B$3:$E$83,4,FALSE)*E1088)</f>
        <v/>
      </c>
    </row>
    <row r="1089" ht="15.75" customHeight="1">
      <c r="A1089" s="50"/>
      <c r="B1089" s="50"/>
      <c r="C1089" s="50"/>
      <c r="D1089" s="50"/>
      <c r="E1089" s="50"/>
      <c r="F1089" s="50"/>
      <c r="G1089" s="50"/>
      <c r="H1089" s="50"/>
      <c r="I1089" s="34" t="str">
        <f>IF(ISBLANK(A1089),"",VLOOKUP(A1089,RELACIONES!$G$3:$H$65,2,FALSE()))</f>
        <v/>
      </c>
      <c r="J1089" s="35" t="str">
        <f>IF(ISBLANK(A1089),"",VLOOKUP(C1089,RELACIONES!$A$3:$B$70,2,FALSE))</f>
        <v/>
      </c>
      <c r="K1089" s="35" t="str">
        <f>IF(ISBLANK(A1089),"",VLOOKUP(J1089,RELACIONES!$B$3:$E$83,4,FALSE)*E1089)</f>
        <v/>
      </c>
    </row>
    <row r="1090" ht="15.75" customHeight="1">
      <c r="A1090" s="50"/>
      <c r="B1090" s="50"/>
      <c r="C1090" s="50"/>
      <c r="D1090" s="50"/>
      <c r="E1090" s="50"/>
      <c r="F1090" s="50"/>
      <c r="G1090" s="50"/>
      <c r="H1090" s="50"/>
      <c r="I1090" s="34" t="str">
        <f>IF(ISBLANK(A1090),"",VLOOKUP(A1090,RELACIONES!$G$3:$H$65,2,FALSE()))</f>
        <v/>
      </c>
      <c r="J1090" s="35" t="str">
        <f>IF(ISBLANK(A1090),"",VLOOKUP(C1090,RELACIONES!$A$3:$B$70,2,FALSE))</f>
        <v/>
      </c>
      <c r="K1090" s="35" t="str">
        <f>IF(ISBLANK(A1090),"",VLOOKUP(J1090,RELACIONES!$B$3:$E$83,4,FALSE)*E1090)</f>
        <v/>
      </c>
    </row>
    <row r="1091" ht="15.75" customHeight="1">
      <c r="A1091" s="50"/>
      <c r="B1091" s="50"/>
      <c r="C1091" s="50"/>
      <c r="D1091" s="50"/>
      <c r="E1091" s="50"/>
      <c r="F1091" s="50"/>
      <c r="G1091" s="50"/>
      <c r="H1091" s="50"/>
      <c r="I1091" s="34" t="str">
        <f>IF(ISBLANK(A1091),"",VLOOKUP(A1091,RELACIONES!$G$3:$H$65,2,FALSE()))</f>
        <v/>
      </c>
      <c r="J1091" s="35" t="str">
        <f>IF(ISBLANK(A1091),"",VLOOKUP(C1091,RELACIONES!$A$3:$B$70,2,FALSE))</f>
        <v/>
      </c>
      <c r="K1091" s="35" t="str">
        <f>IF(ISBLANK(A1091),"",VLOOKUP(J1091,RELACIONES!$B$3:$E$83,4,FALSE)*E1091)</f>
        <v/>
      </c>
    </row>
    <row r="1092" ht="15.75" customHeight="1">
      <c r="A1092" s="50"/>
      <c r="B1092" s="50"/>
      <c r="C1092" s="50"/>
      <c r="D1092" s="50"/>
      <c r="E1092" s="50"/>
      <c r="F1092" s="50"/>
      <c r="G1092" s="50"/>
      <c r="H1092" s="50"/>
      <c r="I1092" s="34" t="str">
        <f>IF(ISBLANK(A1092),"",VLOOKUP(A1092,RELACIONES!$G$3:$H$65,2,FALSE()))</f>
        <v/>
      </c>
      <c r="J1092" s="35" t="str">
        <f>IF(ISBLANK(A1092),"",VLOOKUP(C1092,RELACIONES!$A$3:$B$70,2,FALSE))</f>
        <v/>
      </c>
      <c r="K1092" s="35" t="str">
        <f>IF(ISBLANK(A1092),"",VLOOKUP(J1092,RELACIONES!$B$3:$E$83,4,FALSE)*E1092)</f>
        <v/>
      </c>
    </row>
    <row r="1093" ht="15.75" customHeight="1">
      <c r="A1093" s="50"/>
      <c r="B1093" s="50"/>
      <c r="C1093" s="50"/>
      <c r="D1093" s="50"/>
      <c r="E1093" s="50"/>
      <c r="F1093" s="50"/>
      <c r="G1093" s="50"/>
      <c r="H1093" s="50"/>
      <c r="I1093" s="34" t="str">
        <f>IF(ISBLANK(A1093),"",VLOOKUP(A1093,RELACIONES!$G$3:$H$65,2,FALSE()))</f>
        <v/>
      </c>
      <c r="J1093" s="35" t="str">
        <f>IF(ISBLANK(A1093),"",VLOOKUP(C1093,RELACIONES!$A$3:$B$70,2,FALSE))</f>
        <v/>
      </c>
      <c r="K1093" s="35" t="str">
        <f>IF(ISBLANK(A1093),"",VLOOKUP(J1093,RELACIONES!$B$3:$E$83,4,FALSE)*E1093)</f>
        <v/>
      </c>
    </row>
    <row r="1094" ht="15.75" customHeight="1">
      <c r="A1094" s="50"/>
      <c r="B1094" s="50"/>
      <c r="C1094" s="50"/>
      <c r="D1094" s="50"/>
      <c r="E1094" s="50"/>
      <c r="F1094" s="50"/>
      <c r="G1094" s="50"/>
      <c r="H1094" s="50"/>
      <c r="I1094" s="34" t="str">
        <f>IF(ISBLANK(A1094),"",VLOOKUP(A1094,RELACIONES!$G$3:$H$65,2,FALSE()))</f>
        <v/>
      </c>
      <c r="J1094" s="35" t="str">
        <f>IF(ISBLANK(A1094),"",VLOOKUP(C1094,RELACIONES!$A$3:$B$70,2,FALSE))</f>
        <v/>
      </c>
      <c r="K1094" s="35" t="str">
        <f>IF(ISBLANK(A1094),"",VLOOKUP(J1094,RELACIONES!$B$3:$E$83,4,FALSE)*E1094)</f>
        <v/>
      </c>
    </row>
    <row r="1095" ht="15.75" customHeight="1">
      <c r="A1095" s="50"/>
      <c r="B1095" s="50"/>
      <c r="C1095" s="50"/>
      <c r="D1095" s="50"/>
      <c r="E1095" s="50"/>
      <c r="F1095" s="50"/>
      <c r="G1095" s="50"/>
      <c r="H1095" s="50"/>
      <c r="I1095" s="34" t="str">
        <f>IF(ISBLANK(A1095),"",VLOOKUP(A1095,RELACIONES!$G$3:$H$65,2,FALSE()))</f>
        <v/>
      </c>
      <c r="J1095" s="35" t="str">
        <f>IF(ISBLANK(A1095),"",VLOOKUP(C1095,RELACIONES!$A$3:$B$70,2,FALSE))</f>
        <v/>
      </c>
      <c r="K1095" s="35" t="str">
        <f>IF(ISBLANK(A1095),"",VLOOKUP(J1095,RELACIONES!$B$3:$E$83,4,FALSE)*E1095)</f>
        <v/>
      </c>
    </row>
    <row r="1096" ht="15.75" customHeight="1">
      <c r="A1096" s="50"/>
      <c r="B1096" s="50"/>
      <c r="C1096" s="50"/>
      <c r="D1096" s="50"/>
      <c r="E1096" s="50"/>
      <c r="F1096" s="50"/>
      <c r="G1096" s="50"/>
      <c r="H1096" s="50"/>
      <c r="I1096" s="34" t="str">
        <f>IF(ISBLANK(A1096),"",VLOOKUP(A1096,RELACIONES!$G$3:$H$65,2,FALSE()))</f>
        <v/>
      </c>
      <c r="J1096" s="35" t="str">
        <f>IF(ISBLANK(A1096),"",VLOOKUP(C1096,RELACIONES!$A$3:$B$70,2,FALSE))</f>
        <v/>
      </c>
      <c r="K1096" s="35" t="str">
        <f>IF(ISBLANK(A1096),"",VLOOKUP(J1096,RELACIONES!$B$3:$E$83,4,FALSE)*E1096)</f>
        <v/>
      </c>
    </row>
    <row r="1097" ht="15.75" customHeight="1">
      <c r="A1097" s="50"/>
      <c r="B1097" s="50"/>
      <c r="C1097" s="50"/>
      <c r="D1097" s="50"/>
      <c r="E1097" s="50"/>
      <c r="F1097" s="50"/>
      <c r="G1097" s="50"/>
      <c r="H1097" s="50"/>
      <c r="I1097" s="34" t="str">
        <f>IF(ISBLANK(A1097),"",VLOOKUP(A1097,RELACIONES!$G$3:$H$65,2,FALSE()))</f>
        <v/>
      </c>
      <c r="J1097" s="35" t="str">
        <f>IF(ISBLANK(A1097),"",VLOOKUP(C1097,RELACIONES!$A$3:$B$70,2,FALSE))</f>
        <v/>
      </c>
      <c r="K1097" s="35" t="str">
        <f>IF(ISBLANK(A1097),"",VLOOKUP(J1097,RELACIONES!$B$3:$E$83,4,FALSE)*E1097)</f>
        <v/>
      </c>
    </row>
    <row r="1098" ht="15.75" customHeight="1">
      <c r="A1098" s="50"/>
      <c r="B1098" s="50"/>
      <c r="C1098" s="50"/>
      <c r="D1098" s="50"/>
      <c r="E1098" s="50"/>
      <c r="F1098" s="50"/>
      <c r="G1098" s="50"/>
      <c r="H1098" s="50"/>
      <c r="I1098" s="34" t="str">
        <f>IF(ISBLANK(A1098),"",VLOOKUP(A1098,RELACIONES!$G$3:$H$65,2,FALSE()))</f>
        <v/>
      </c>
      <c r="J1098" s="35" t="str">
        <f>IF(ISBLANK(A1098),"",VLOOKUP(C1098,RELACIONES!$A$3:$B$70,2,FALSE))</f>
        <v/>
      </c>
      <c r="K1098" s="35" t="str">
        <f>IF(ISBLANK(A1098),"",VLOOKUP(J1098,RELACIONES!$B$3:$E$83,4,FALSE)*E1098)</f>
        <v/>
      </c>
    </row>
    <row r="1099" ht="15.75" customHeight="1">
      <c r="A1099" s="50"/>
      <c r="B1099" s="50"/>
      <c r="C1099" s="50"/>
      <c r="D1099" s="50"/>
      <c r="E1099" s="50"/>
      <c r="F1099" s="50"/>
      <c r="G1099" s="50"/>
      <c r="H1099" s="50"/>
      <c r="I1099" s="34" t="str">
        <f>IF(ISBLANK(A1099),"",VLOOKUP(A1099,RELACIONES!$G$3:$H$65,2,FALSE()))</f>
        <v/>
      </c>
      <c r="J1099" s="35" t="str">
        <f>IF(ISBLANK(A1099),"",VLOOKUP(C1099,RELACIONES!$A$3:$B$70,2,FALSE))</f>
        <v/>
      </c>
      <c r="K1099" s="35" t="str">
        <f>IF(ISBLANK(A1099),"",VLOOKUP(J1099,RELACIONES!$B$3:$E$83,4,FALSE)*E1099)</f>
        <v/>
      </c>
    </row>
    <row r="1100" ht="15.75" customHeight="1">
      <c r="A1100" s="50"/>
      <c r="B1100" s="50"/>
      <c r="C1100" s="50"/>
      <c r="D1100" s="50"/>
      <c r="E1100" s="50"/>
      <c r="F1100" s="50"/>
      <c r="G1100" s="50"/>
      <c r="H1100" s="50"/>
      <c r="I1100" s="34" t="str">
        <f>IF(ISBLANK(A1100),"",VLOOKUP(A1100,RELACIONES!$G$3:$H$65,2,FALSE()))</f>
        <v/>
      </c>
      <c r="J1100" s="35" t="str">
        <f>IF(ISBLANK(A1100),"",VLOOKUP(C1100,RELACIONES!$A$3:$B$70,2,FALSE))</f>
        <v/>
      </c>
      <c r="K1100" s="35" t="str">
        <f>IF(ISBLANK(A1100),"",VLOOKUP(J1100,RELACIONES!$B$3:$E$83,4,FALSE)*E1100)</f>
        <v/>
      </c>
    </row>
    <row r="1101" ht="15.75" customHeight="1">
      <c r="A1101" s="50"/>
      <c r="B1101" s="50"/>
      <c r="C1101" s="50"/>
      <c r="D1101" s="50"/>
      <c r="E1101" s="50"/>
      <c r="F1101" s="50"/>
      <c r="G1101" s="50"/>
      <c r="H1101" s="50"/>
      <c r="I1101" s="34" t="str">
        <f>IF(ISBLANK(A1101),"",VLOOKUP(A1101,RELACIONES!$G$3:$H$65,2,FALSE()))</f>
        <v/>
      </c>
      <c r="J1101" s="35" t="str">
        <f>IF(ISBLANK(A1101),"",VLOOKUP(C1101,RELACIONES!$A$3:$B$70,2,FALSE))</f>
        <v/>
      </c>
      <c r="K1101" s="35" t="str">
        <f>IF(ISBLANK(A1101),"",VLOOKUP(J1101,RELACIONES!$B$3:$E$83,4,FALSE)*E1101)</f>
        <v/>
      </c>
    </row>
    <row r="1102" ht="15.75" customHeight="1">
      <c r="A1102" s="50"/>
      <c r="B1102" s="50"/>
      <c r="C1102" s="50"/>
      <c r="D1102" s="50"/>
      <c r="E1102" s="50"/>
      <c r="F1102" s="50"/>
      <c r="G1102" s="50"/>
      <c r="H1102" s="50"/>
      <c r="I1102" s="34" t="str">
        <f>IF(ISBLANK(A1102),"",VLOOKUP(A1102,RELACIONES!$G$3:$H$65,2,FALSE()))</f>
        <v/>
      </c>
      <c r="J1102" s="35" t="str">
        <f>IF(ISBLANK(A1102),"",VLOOKUP(C1102,RELACIONES!$A$3:$B$70,2,FALSE))</f>
        <v/>
      </c>
      <c r="K1102" s="35" t="str">
        <f>IF(ISBLANK(A1102),"",VLOOKUP(J1102,RELACIONES!$B$3:$E$83,4,FALSE)*E1102)</f>
        <v/>
      </c>
    </row>
    <row r="1103" ht="15.75" customHeight="1">
      <c r="A1103" s="50"/>
      <c r="B1103" s="50"/>
      <c r="C1103" s="50"/>
      <c r="D1103" s="50"/>
      <c r="E1103" s="50"/>
      <c r="F1103" s="50"/>
      <c r="G1103" s="50"/>
      <c r="H1103" s="50"/>
      <c r="I1103" s="34" t="str">
        <f>IF(ISBLANK(A1103),"",VLOOKUP(A1103,RELACIONES!$G$3:$H$65,2,FALSE()))</f>
        <v/>
      </c>
      <c r="J1103" s="35" t="str">
        <f>IF(ISBLANK(A1103),"",VLOOKUP(C1103,RELACIONES!$A$3:$B$70,2,FALSE))</f>
        <v/>
      </c>
      <c r="K1103" s="35" t="str">
        <f>IF(ISBLANK(A1103),"",VLOOKUP(J1103,RELACIONES!$B$3:$E$83,4,FALSE)*E1103)</f>
        <v/>
      </c>
    </row>
    <row r="1104" ht="15.75" customHeight="1">
      <c r="A1104" s="50"/>
      <c r="B1104" s="50"/>
      <c r="C1104" s="50"/>
      <c r="D1104" s="50"/>
      <c r="E1104" s="50"/>
      <c r="F1104" s="50"/>
      <c r="G1104" s="50"/>
      <c r="H1104" s="50"/>
      <c r="I1104" s="34" t="str">
        <f>IF(ISBLANK(A1104),"",VLOOKUP(A1104,RELACIONES!$G$3:$H$65,2,FALSE()))</f>
        <v/>
      </c>
      <c r="J1104" s="35" t="str">
        <f>IF(ISBLANK(A1104),"",VLOOKUP(C1104,RELACIONES!$A$3:$B$70,2,FALSE))</f>
        <v/>
      </c>
      <c r="K1104" s="35" t="str">
        <f>IF(ISBLANK(A1104),"",VLOOKUP(J1104,RELACIONES!$B$3:$E$83,4,FALSE)*E1104)</f>
        <v/>
      </c>
    </row>
    <row r="1105" ht="15.75" customHeight="1">
      <c r="A1105" s="50"/>
      <c r="B1105" s="50"/>
      <c r="C1105" s="50"/>
      <c r="D1105" s="50"/>
      <c r="E1105" s="50"/>
      <c r="F1105" s="50"/>
      <c r="G1105" s="50"/>
      <c r="H1105" s="50"/>
      <c r="I1105" s="34" t="str">
        <f>IF(ISBLANK(A1105),"",VLOOKUP(A1105,RELACIONES!$G$3:$H$65,2,FALSE()))</f>
        <v/>
      </c>
      <c r="J1105" s="35" t="str">
        <f>IF(ISBLANK(A1105),"",VLOOKUP(C1105,RELACIONES!$A$3:$B$70,2,FALSE))</f>
        <v/>
      </c>
      <c r="K1105" s="35" t="str">
        <f>IF(ISBLANK(A1105),"",VLOOKUP(J1105,RELACIONES!$B$3:$E$83,4,FALSE)*E1105)</f>
        <v/>
      </c>
    </row>
    <row r="1106" ht="15.75" customHeight="1">
      <c r="A1106" s="50"/>
      <c r="B1106" s="50"/>
      <c r="C1106" s="50"/>
      <c r="D1106" s="50"/>
      <c r="E1106" s="50"/>
      <c r="F1106" s="50"/>
      <c r="G1106" s="50"/>
      <c r="H1106" s="50"/>
      <c r="I1106" s="34" t="str">
        <f>IF(ISBLANK(A1106),"",VLOOKUP(A1106,RELACIONES!$G$3:$H$65,2,FALSE()))</f>
        <v/>
      </c>
      <c r="J1106" s="35" t="str">
        <f>IF(ISBLANK(A1106),"",VLOOKUP(C1106,RELACIONES!$A$3:$B$70,2,FALSE))</f>
        <v/>
      </c>
      <c r="K1106" s="35" t="str">
        <f>IF(ISBLANK(A1106),"",VLOOKUP(J1106,RELACIONES!$B$3:$E$83,4,FALSE)*E1106)</f>
        <v/>
      </c>
    </row>
    <row r="1107" ht="15.75" customHeight="1">
      <c r="A1107" s="50"/>
      <c r="B1107" s="50"/>
      <c r="C1107" s="50"/>
      <c r="D1107" s="50"/>
      <c r="E1107" s="50"/>
      <c r="F1107" s="50"/>
      <c r="G1107" s="50"/>
      <c r="H1107" s="50"/>
      <c r="I1107" s="34" t="str">
        <f>IF(ISBLANK(A1107),"",VLOOKUP(A1107,RELACIONES!$G$3:$H$65,2,FALSE()))</f>
        <v/>
      </c>
      <c r="J1107" s="35" t="str">
        <f>IF(ISBLANK(A1107),"",VLOOKUP(C1107,RELACIONES!$A$3:$B$70,2,FALSE))</f>
        <v/>
      </c>
      <c r="K1107" s="35" t="str">
        <f>IF(ISBLANK(A1107),"",VLOOKUP(J1107,RELACIONES!$B$3:$E$83,4,FALSE)*E1107)</f>
        <v/>
      </c>
    </row>
    <row r="1108" ht="15.75" customHeight="1">
      <c r="A1108" s="50"/>
      <c r="B1108" s="50"/>
      <c r="C1108" s="50"/>
      <c r="D1108" s="50"/>
      <c r="E1108" s="50"/>
      <c r="F1108" s="50"/>
      <c r="G1108" s="50"/>
      <c r="H1108" s="50"/>
      <c r="I1108" s="34" t="str">
        <f>IF(ISBLANK(A1108),"",VLOOKUP(A1108,RELACIONES!$G$3:$H$65,2,FALSE()))</f>
        <v/>
      </c>
      <c r="J1108" s="35" t="str">
        <f>IF(ISBLANK(A1108),"",VLOOKUP(C1108,RELACIONES!$A$3:$B$70,2,FALSE))</f>
        <v/>
      </c>
      <c r="K1108" s="35" t="str">
        <f>IF(ISBLANK(A1108),"",VLOOKUP(J1108,RELACIONES!$B$3:$E$83,4,FALSE)*E1108)</f>
        <v/>
      </c>
    </row>
    <row r="1109" ht="15.75" customHeight="1">
      <c r="A1109" s="50"/>
      <c r="B1109" s="50"/>
      <c r="C1109" s="50"/>
      <c r="D1109" s="50"/>
      <c r="E1109" s="50"/>
      <c r="F1109" s="50"/>
      <c r="G1109" s="50"/>
      <c r="H1109" s="50"/>
      <c r="I1109" s="34" t="str">
        <f>IF(ISBLANK(A1109),"",VLOOKUP(A1109,RELACIONES!$G$3:$H$65,2,FALSE()))</f>
        <v/>
      </c>
      <c r="J1109" s="35" t="str">
        <f>IF(ISBLANK(A1109),"",VLOOKUP(C1109,RELACIONES!$A$3:$B$70,2,FALSE))</f>
        <v/>
      </c>
      <c r="K1109" s="35" t="str">
        <f>IF(ISBLANK(A1109),"",VLOOKUP(J1109,RELACIONES!$B$3:$E$83,4,FALSE)*E1109)</f>
        <v/>
      </c>
    </row>
    <row r="1110" ht="15.75" customHeight="1">
      <c r="A1110" s="50"/>
      <c r="B1110" s="50"/>
      <c r="C1110" s="50"/>
      <c r="D1110" s="50"/>
      <c r="E1110" s="50"/>
      <c r="F1110" s="50"/>
      <c r="G1110" s="50"/>
      <c r="H1110" s="50"/>
      <c r="I1110" s="34" t="str">
        <f>IF(ISBLANK(A1110),"",VLOOKUP(A1110,RELACIONES!$G$3:$H$65,2,FALSE()))</f>
        <v/>
      </c>
      <c r="J1110" s="35" t="str">
        <f>IF(ISBLANK(A1110),"",VLOOKUP(C1110,RELACIONES!$A$3:$B$70,2,FALSE))</f>
        <v/>
      </c>
      <c r="K1110" s="35" t="str">
        <f>IF(ISBLANK(A1110),"",VLOOKUP(J1110,RELACIONES!$B$3:$E$83,4,FALSE)*E1110)</f>
        <v/>
      </c>
    </row>
    <row r="1111" ht="15.75" customHeight="1">
      <c r="A1111" s="50"/>
      <c r="B1111" s="50"/>
      <c r="C1111" s="50"/>
      <c r="D1111" s="50"/>
      <c r="E1111" s="50"/>
      <c r="F1111" s="50"/>
      <c r="G1111" s="50"/>
      <c r="H1111" s="50"/>
      <c r="I1111" s="34" t="str">
        <f>IF(ISBLANK(A1111),"",VLOOKUP(A1111,RELACIONES!$G$3:$H$65,2,FALSE()))</f>
        <v/>
      </c>
      <c r="J1111" s="35" t="str">
        <f>IF(ISBLANK(A1111),"",VLOOKUP(C1111,RELACIONES!$A$3:$B$70,2,FALSE))</f>
        <v/>
      </c>
      <c r="K1111" s="35" t="str">
        <f>IF(ISBLANK(A1111),"",VLOOKUP(J1111,RELACIONES!$B$3:$E$83,4,FALSE)*E1111)</f>
        <v/>
      </c>
    </row>
    <row r="1112" ht="15.75" customHeight="1">
      <c r="A1112" s="50"/>
      <c r="B1112" s="50"/>
      <c r="C1112" s="50"/>
      <c r="D1112" s="50"/>
      <c r="E1112" s="50"/>
      <c r="F1112" s="50"/>
      <c r="G1112" s="50"/>
      <c r="H1112" s="50"/>
      <c r="I1112" s="34" t="str">
        <f>IF(ISBLANK(A1112),"",VLOOKUP(A1112,RELACIONES!$G$3:$H$65,2,FALSE()))</f>
        <v/>
      </c>
      <c r="J1112" s="35" t="str">
        <f>IF(ISBLANK(A1112),"",VLOOKUP(C1112,RELACIONES!$A$3:$B$70,2,FALSE))</f>
        <v/>
      </c>
      <c r="K1112" s="35" t="str">
        <f>IF(ISBLANK(A1112),"",VLOOKUP(J1112,RELACIONES!$B$3:$E$83,4,FALSE)*E1112)</f>
        <v/>
      </c>
    </row>
    <row r="1113" ht="15.75" customHeight="1">
      <c r="A1113" s="50"/>
      <c r="B1113" s="50"/>
      <c r="C1113" s="50"/>
      <c r="D1113" s="50"/>
      <c r="E1113" s="50"/>
      <c r="F1113" s="50"/>
      <c r="G1113" s="50"/>
      <c r="H1113" s="50"/>
      <c r="I1113" s="34" t="str">
        <f>IF(ISBLANK(A1113),"",VLOOKUP(A1113,RELACIONES!$G$3:$H$65,2,FALSE()))</f>
        <v/>
      </c>
      <c r="J1113" s="35" t="str">
        <f>IF(ISBLANK(A1113),"",VLOOKUP(C1113,RELACIONES!$A$3:$B$70,2,FALSE))</f>
        <v/>
      </c>
      <c r="K1113" s="35" t="str">
        <f>IF(ISBLANK(A1113),"",VLOOKUP(J1113,RELACIONES!$B$3:$E$83,4,FALSE)*E1113)</f>
        <v/>
      </c>
    </row>
    <row r="1114" ht="15.75" customHeight="1">
      <c r="A1114" s="50"/>
      <c r="B1114" s="50"/>
      <c r="C1114" s="50"/>
      <c r="D1114" s="50"/>
      <c r="E1114" s="50"/>
      <c r="F1114" s="50"/>
      <c r="G1114" s="50"/>
      <c r="H1114" s="50"/>
      <c r="I1114" s="34" t="str">
        <f>IF(ISBLANK(A1114),"",VLOOKUP(A1114,RELACIONES!$G$3:$H$65,2,FALSE()))</f>
        <v/>
      </c>
      <c r="J1114" s="35" t="str">
        <f>IF(ISBLANK(A1114),"",VLOOKUP(C1114,RELACIONES!$A$3:$B$70,2,FALSE))</f>
        <v/>
      </c>
      <c r="K1114" s="35" t="str">
        <f>IF(ISBLANK(A1114),"",VLOOKUP(J1114,RELACIONES!$B$3:$E$83,4,FALSE)*E1114)</f>
        <v/>
      </c>
    </row>
    <row r="1115" ht="15.75" customHeight="1">
      <c r="A1115" s="50"/>
      <c r="B1115" s="50"/>
      <c r="C1115" s="50"/>
      <c r="D1115" s="50"/>
      <c r="E1115" s="50"/>
      <c r="F1115" s="50"/>
      <c r="G1115" s="50"/>
      <c r="H1115" s="50"/>
      <c r="I1115" s="34" t="str">
        <f>IF(ISBLANK(A1115),"",VLOOKUP(A1115,RELACIONES!$G$3:$H$65,2,FALSE()))</f>
        <v/>
      </c>
      <c r="J1115" s="35" t="str">
        <f>IF(ISBLANK(A1115),"",VLOOKUP(C1115,RELACIONES!$A$3:$B$70,2,FALSE))</f>
        <v/>
      </c>
      <c r="K1115" s="35" t="str">
        <f>IF(ISBLANK(A1115),"",VLOOKUP(J1115,RELACIONES!$B$3:$E$83,4,FALSE)*E1115)</f>
        <v/>
      </c>
    </row>
    <row r="1116" ht="15.75" customHeight="1">
      <c r="A1116" s="50"/>
      <c r="B1116" s="50"/>
      <c r="C1116" s="50"/>
      <c r="D1116" s="50"/>
      <c r="E1116" s="50"/>
      <c r="F1116" s="50"/>
      <c r="G1116" s="50"/>
      <c r="H1116" s="50"/>
      <c r="I1116" s="34" t="str">
        <f>IF(ISBLANK(A1116),"",VLOOKUP(A1116,RELACIONES!$G$3:$H$65,2,FALSE()))</f>
        <v/>
      </c>
      <c r="J1116" s="35" t="str">
        <f>IF(ISBLANK(A1116),"",VLOOKUP(C1116,RELACIONES!$A$3:$B$70,2,FALSE))</f>
        <v/>
      </c>
      <c r="K1116" s="35" t="str">
        <f>IF(ISBLANK(A1116),"",VLOOKUP(J1116,RELACIONES!$B$3:$E$83,4,FALSE)*E1116)</f>
        <v/>
      </c>
    </row>
    <row r="1117" ht="15.75" customHeight="1">
      <c r="A1117" s="50"/>
      <c r="B1117" s="50"/>
      <c r="C1117" s="50"/>
      <c r="D1117" s="50"/>
      <c r="E1117" s="50"/>
      <c r="F1117" s="50"/>
      <c r="G1117" s="50"/>
      <c r="H1117" s="50"/>
      <c r="I1117" s="34" t="str">
        <f>IF(ISBLANK(A1117),"",VLOOKUP(A1117,RELACIONES!$G$3:$H$65,2,FALSE()))</f>
        <v/>
      </c>
      <c r="J1117" s="35" t="str">
        <f>IF(ISBLANK(A1117),"",VLOOKUP(C1117,RELACIONES!$A$3:$B$70,2,FALSE))</f>
        <v/>
      </c>
      <c r="K1117" s="35" t="str">
        <f>IF(ISBLANK(A1117),"",VLOOKUP(J1117,RELACIONES!$B$3:$E$83,4,FALSE)*E1117)</f>
        <v/>
      </c>
    </row>
    <row r="1118" ht="15.75" customHeight="1">
      <c r="A1118" s="50"/>
      <c r="B1118" s="50"/>
      <c r="C1118" s="50"/>
      <c r="D1118" s="50"/>
      <c r="E1118" s="50"/>
      <c r="F1118" s="50"/>
      <c r="G1118" s="50"/>
      <c r="H1118" s="50"/>
      <c r="I1118" s="34" t="str">
        <f>IF(ISBLANK(A1118),"",VLOOKUP(A1118,RELACIONES!$G$3:$H$65,2,FALSE()))</f>
        <v/>
      </c>
      <c r="J1118" s="35" t="str">
        <f>IF(ISBLANK(A1118),"",VLOOKUP(C1118,RELACIONES!$A$3:$B$70,2,FALSE))</f>
        <v/>
      </c>
      <c r="K1118" s="35" t="str">
        <f>IF(ISBLANK(A1118),"",VLOOKUP(J1118,RELACIONES!$B$3:$E$83,4,FALSE)*E1118)</f>
        <v/>
      </c>
    </row>
    <row r="1119" ht="15.75" customHeight="1">
      <c r="A1119" s="50"/>
      <c r="B1119" s="50"/>
      <c r="C1119" s="50"/>
      <c r="D1119" s="50"/>
      <c r="E1119" s="50"/>
      <c r="F1119" s="50"/>
      <c r="G1119" s="50"/>
      <c r="H1119" s="50"/>
      <c r="I1119" s="34" t="str">
        <f>IF(ISBLANK(A1119),"",VLOOKUP(A1119,RELACIONES!$G$3:$H$65,2,FALSE()))</f>
        <v/>
      </c>
      <c r="J1119" s="35" t="str">
        <f>IF(ISBLANK(A1119),"",VLOOKUP(C1119,RELACIONES!$A$3:$B$70,2,FALSE))</f>
        <v/>
      </c>
      <c r="K1119" s="35" t="str">
        <f>IF(ISBLANK(A1119),"",VLOOKUP(J1119,RELACIONES!$B$3:$E$83,4,FALSE)*E1119)</f>
        <v/>
      </c>
    </row>
    <row r="1120" ht="15.75" customHeight="1">
      <c r="A1120" s="50"/>
      <c r="B1120" s="50"/>
      <c r="C1120" s="50"/>
      <c r="D1120" s="50"/>
      <c r="E1120" s="50"/>
      <c r="F1120" s="50"/>
      <c r="G1120" s="50"/>
      <c r="H1120" s="50"/>
      <c r="I1120" s="34" t="str">
        <f>IF(ISBLANK(A1120),"",VLOOKUP(A1120,RELACIONES!$G$3:$H$65,2,FALSE()))</f>
        <v/>
      </c>
      <c r="J1120" s="35" t="str">
        <f>IF(ISBLANK(A1120),"",VLOOKUP(C1120,RELACIONES!$A$3:$B$70,2,FALSE))</f>
        <v/>
      </c>
      <c r="K1120" s="35" t="str">
        <f>IF(ISBLANK(A1120),"",VLOOKUP(J1120,RELACIONES!$B$3:$E$83,4,FALSE)*E1120)</f>
        <v/>
      </c>
    </row>
    <row r="1121" ht="15.75" customHeight="1">
      <c r="A1121" s="50"/>
      <c r="B1121" s="50"/>
      <c r="C1121" s="50"/>
      <c r="D1121" s="50"/>
      <c r="E1121" s="50"/>
      <c r="F1121" s="50"/>
      <c r="G1121" s="50"/>
      <c r="H1121" s="50"/>
      <c r="I1121" s="34" t="str">
        <f>IF(ISBLANK(A1121),"",VLOOKUP(A1121,RELACIONES!$G$3:$H$65,2,FALSE()))</f>
        <v/>
      </c>
      <c r="J1121" s="35" t="str">
        <f>IF(ISBLANK(A1121),"",VLOOKUP(C1121,RELACIONES!$A$3:$B$70,2,FALSE))</f>
        <v/>
      </c>
      <c r="K1121" s="35" t="str">
        <f>IF(ISBLANK(A1121),"",VLOOKUP(J1121,RELACIONES!$B$3:$E$83,4,FALSE)*E1121)</f>
        <v/>
      </c>
    </row>
    <row r="1122" ht="15.75" customHeight="1">
      <c r="A1122" s="50"/>
      <c r="B1122" s="50"/>
      <c r="C1122" s="50"/>
      <c r="D1122" s="50"/>
      <c r="E1122" s="50"/>
      <c r="F1122" s="50"/>
      <c r="G1122" s="50"/>
      <c r="H1122" s="50"/>
      <c r="I1122" s="34" t="str">
        <f>IF(ISBLANK(A1122),"",VLOOKUP(A1122,RELACIONES!$G$3:$H$65,2,FALSE()))</f>
        <v/>
      </c>
      <c r="J1122" s="35" t="str">
        <f>IF(ISBLANK(A1122),"",VLOOKUP(C1122,RELACIONES!$A$3:$B$70,2,FALSE))</f>
        <v/>
      </c>
      <c r="K1122" s="35" t="str">
        <f>IF(ISBLANK(A1122),"",VLOOKUP(J1122,RELACIONES!$B$3:$E$83,4,FALSE)*E1122)</f>
        <v/>
      </c>
    </row>
    <row r="1123" ht="15.75" customHeight="1">
      <c r="A1123" s="50"/>
      <c r="B1123" s="50"/>
      <c r="C1123" s="50"/>
      <c r="D1123" s="50"/>
      <c r="E1123" s="50"/>
      <c r="F1123" s="50"/>
      <c r="G1123" s="50"/>
      <c r="H1123" s="50"/>
      <c r="I1123" s="34" t="str">
        <f>IF(ISBLANK(A1123),"",VLOOKUP(A1123,RELACIONES!$G$3:$H$65,2,FALSE()))</f>
        <v/>
      </c>
      <c r="J1123" s="35" t="str">
        <f>IF(ISBLANK(A1123),"",VLOOKUP(C1123,RELACIONES!$A$3:$B$70,2,FALSE))</f>
        <v/>
      </c>
      <c r="K1123" s="35" t="str">
        <f>IF(ISBLANK(A1123),"",VLOOKUP(J1123,RELACIONES!$B$3:$E$83,4,FALSE)*E1123)</f>
        <v/>
      </c>
    </row>
    <row r="1124" ht="15.75" customHeight="1">
      <c r="A1124" s="50"/>
      <c r="B1124" s="50"/>
      <c r="C1124" s="50"/>
      <c r="D1124" s="50"/>
      <c r="E1124" s="50"/>
      <c r="F1124" s="50"/>
      <c r="G1124" s="50"/>
      <c r="H1124" s="50"/>
      <c r="I1124" s="34" t="str">
        <f>IF(ISBLANK(A1124),"",VLOOKUP(A1124,RELACIONES!$G$3:$H$65,2,FALSE()))</f>
        <v/>
      </c>
      <c r="J1124" s="35" t="str">
        <f>IF(ISBLANK(A1124),"",VLOOKUP(C1124,RELACIONES!$A$3:$B$70,2,FALSE))</f>
        <v/>
      </c>
      <c r="K1124" s="35" t="str">
        <f>IF(ISBLANK(A1124),"",VLOOKUP(J1124,RELACIONES!$B$3:$E$83,4,FALSE)*E1124)</f>
        <v/>
      </c>
    </row>
    <row r="1125" ht="15.75" customHeight="1">
      <c r="A1125" s="50"/>
      <c r="B1125" s="50"/>
      <c r="C1125" s="50"/>
      <c r="D1125" s="50"/>
      <c r="E1125" s="50"/>
      <c r="F1125" s="50"/>
      <c r="G1125" s="50"/>
      <c r="H1125" s="50"/>
      <c r="I1125" s="34" t="str">
        <f>IF(ISBLANK(A1125),"",VLOOKUP(A1125,RELACIONES!$G$3:$H$65,2,FALSE()))</f>
        <v/>
      </c>
      <c r="J1125" s="35" t="str">
        <f>IF(ISBLANK(A1125),"",VLOOKUP(C1125,RELACIONES!$A$3:$B$70,2,FALSE))</f>
        <v/>
      </c>
      <c r="K1125" s="35" t="str">
        <f>IF(ISBLANK(A1125),"",VLOOKUP(J1125,RELACIONES!$B$3:$E$83,4,FALSE)*E1125)</f>
        <v/>
      </c>
    </row>
    <row r="1126" ht="15.75" customHeight="1">
      <c r="A1126" s="50"/>
      <c r="B1126" s="50"/>
      <c r="C1126" s="50"/>
      <c r="D1126" s="50"/>
      <c r="E1126" s="50"/>
      <c r="F1126" s="50"/>
      <c r="G1126" s="50"/>
      <c r="H1126" s="50"/>
      <c r="I1126" s="34" t="str">
        <f>IF(ISBLANK(A1126),"",VLOOKUP(A1126,RELACIONES!$G$3:$H$65,2,FALSE()))</f>
        <v/>
      </c>
      <c r="J1126" s="35" t="str">
        <f>IF(ISBLANK(A1126),"",VLOOKUP(C1126,RELACIONES!$A$3:$B$70,2,FALSE))</f>
        <v/>
      </c>
      <c r="K1126" s="35" t="str">
        <f>IF(ISBLANK(A1126),"",VLOOKUP(J1126,RELACIONES!$B$3:$E$83,4,FALSE)*E1126)</f>
        <v/>
      </c>
    </row>
    <row r="1127" ht="15.75" customHeight="1">
      <c r="A1127" s="50"/>
      <c r="B1127" s="50"/>
      <c r="C1127" s="50"/>
      <c r="D1127" s="50"/>
      <c r="E1127" s="50"/>
      <c r="F1127" s="50"/>
      <c r="G1127" s="50"/>
      <c r="H1127" s="50"/>
      <c r="I1127" s="34" t="str">
        <f>IF(ISBLANK(A1127),"",VLOOKUP(A1127,RELACIONES!$G$3:$H$65,2,FALSE()))</f>
        <v/>
      </c>
      <c r="J1127" s="35" t="str">
        <f>IF(ISBLANK(A1127),"",VLOOKUP(C1127,RELACIONES!$A$3:$B$70,2,FALSE))</f>
        <v/>
      </c>
      <c r="K1127" s="35" t="str">
        <f>IF(ISBLANK(A1127),"",VLOOKUP(J1127,RELACIONES!$B$3:$E$83,4,FALSE)*E1127)</f>
        <v/>
      </c>
    </row>
    <row r="1128" ht="15.75" customHeight="1">
      <c r="A1128" s="50"/>
      <c r="B1128" s="50"/>
      <c r="C1128" s="50"/>
      <c r="D1128" s="50"/>
      <c r="E1128" s="50"/>
      <c r="F1128" s="50"/>
      <c r="G1128" s="50"/>
      <c r="H1128" s="50"/>
      <c r="I1128" s="34" t="str">
        <f>IF(ISBLANK(A1128),"",VLOOKUP(A1128,RELACIONES!$G$3:$H$65,2,FALSE()))</f>
        <v/>
      </c>
      <c r="J1128" s="35" t="str">
        <f>IF(ISBLANK(A1128),"",VLOOKUP(C1128,RELACIONES!$A$3:$B$70,2,FALSE))</f>
        <v/>
      </c>
      <c r="K1128" s="35" t="str">
        <f>IF(ISBLANK(A1128),"",VLOOKUP(J1128,RELACIONES!$B$3:$E$83,4,FALSE)*E1128)</f>
        <v/>
      </c>
    </row>
    <row r="1129" ht="15.75" customHeight="1">
      <c r="A1129" s="50"/>
      <c r="B1129" s="50"/>
      <c r="C1129" s="50"/>
      <c r="D1129" s="50"/>
      <c r="E1129" s="50"/>
      <c r="F1129" s="50"/>
      <c r="G1129" s="50"/>
      <c r="H1129" s="50"/>
      <c r="I1129" s="34" t="str">
        <f>IF(ISBLANK(A1129),"",VLOOKUP(A1129,RELACIONES!$G$3:$H$65,2,FALSE()))</f>
        <v/>
      </c>
      <c r="J1129" s="35" t="str">
        <f>IF(ISBLANK(A1129),"",VLOOKUP(C1129,RELACIONES!$A$3:$B$70,2,FALSE))</f>
        <v/>
      </c>
      <c r="K1129" s="35" t="str">
        <f>IF(ISBLANK(A1129),"",VLOOKUP(J1129,RELACIONES!$B$3:$E$83,4,FALSE)*E1129)</f>
        <v/>
      </c>
    </row>
    <row r="1130" ht="15.75" customHeight="1">
      <c r="A1130" s="50"/>
      <c r="B1130" s="50"/>
      <c r="C1130" s="50"/>
      <c r="D1130" s="50"/>
      <c r="E1130" s="50"/>
      <c r="F1130" s="50"/>
      <c r="G1130" s="50"/>
      <c r="H1130" s="50"/>
      <c r="I1130" s="34" t="str">
        <f>IF(ISBLANK(A1130),"",VLOOKUP(A1130,RELACIONES!$G$3:$H$65,2,FALSE()))</f>
        <v/>
      </c>
      <c r="J1130" s="35" t="str">
        <f>IF(ISBLANK(A1130),"",VLOOKUP(C1130,RELACIONES!$A$3:$B$70,2,FALSE))</f>
        <v/>
      </c>
      <c r="K1130" s="35" t="str">
        <f>IF(ISBLANK(A1130),"",VLOOKUP(J1130,RELACIONES!$B$3:$E$83,4,FALSE)*E1130)</f>
        <v/>
      </c>
    </row>
    <row r="1131" ht="15.75" customHeight="1">
      <c r="A1131" s="50"/>
      <c r="B1131" s="50"/>
      <c r="C1131" s="50"/>
      <c r="D1131" s="50"/>
      <c r="E1131" s="50"/>
      <c r="F1131" s="50"/>
      <c r="G1131" s="50"/>
      <c r="H1131" s="50"/>
      <c r="I1131" s="34" t="str">
        <f>IF(ISBLANK(A1131),"",VLOOKUP(A1131,RELACIONES!$G$3:$H$65,2,FALSE()))</f>
        <v/>
      </c>
      <c r="J1131" s="35" t="str">
        <f>IF(ISBLANK(A1131),"",VLOOKUP(C1131,RELACIONES!$A$3:$B$70,2,FALSE))</f>
        <v/>
      </c>
      <c r="K1131" s="35" t="str">
        <f>IF(ISBLANK(A1131),"",VLOOKUP(J1131,RELACIONES!$B$3:$E$83,4,FALSE)*E1131)</f>
        <v/>
      </c>
    </row>
    <row r="1132" ht="15.75" customHeight="1">
      <c r="A1132" s="50"/>
      <c r="B1132" s="50"/>
      <c r="C1132" s="50"/>
      <c r="D1132" s="50"/>
      <c r="E1132" s="50"/>
      <c r="F1132" s="50"/>
      <c r="G1132" s="50"/>
      <c r="H1132" s="50"/>
      <c r="I1132" s="34" t="str">
        <f>IF(ISBLANK(A1132),"",VLOOKUP(A1132,RELACIONES!$G$3:$H$65,2,FALSE()))</f>
        <v/>
      </c>
      <c r="J1132" s="35" t="str">
        <f>IF(ISBLANK(A1132),"",VLOOKUP(C1132,RELACIONES!$A$3:$B$70,2,FALSE))</f>
        <v/>
      </c>
      <c r="K1132" s="35" t="str">
        <f>IF(ISBLANK(A1132),"",VLOOKUP(J1132,RELACIONES!$B$3:$E$83,4,FALSE)*E1132)</f>
        <v/>
      </c>
    </row>
    <row r="1133" ht="15.75" customHeight="1">
      <c r="A1133" s="50"/>
      <c r="B1133" s="50"/>
      <c r="C1133" s="50"/>
      <c r="D1133" s="50"/>
      <c r="E1133" s="50"/>
      <c r="F1133" s="50"/>
      <c r="G1133" s="50"/>
      <c r="H1133" s="50"/>
      <c r="I1133" s="34" t="str">
        <f>IF(ISBLANK(A1133),"",VLOOKUP(A1133,RELACIONES!$G$3:$H$65,2,FALSE()))</f>
        <v/>
      </c>
      <c r="J1133" s="35" t="str">
        <f>IF(ISBLANK(A1133),"",VLOOKUP(C1133,RELACIONES!$A$3:$B$70,2,FALSE))</f>
        <v/>
      </c>
      <c r="K1133" s="35" t="str">
        <f>IF(ISBLANK(A1133),"",VLOOKUP(J1133,RELACIONES!$B$3:$E$83,4,FALSE)*E1133)</f>
        <v/>
      </c>
    </row>
    <row r="1134" ht="15.75" customHeight="1">
      <c r="A1134" s="50"/>
      <c r="B1134" s="50"/>
      <c r="C1134" s="50"/>
      <c r="D1134" s="50"/>
      <c r="E1134" s="50"/>
      <c r="F1134" s="50"/>
      <c r="G1134" s="50"/>
      <c r="H1134" s="50"/>
      <c r="I1134" s="34" t="str">
        <f>IF(ISBLANK(A1134),"",VLOOKUP(A1134,RELACIONES!$G$3:$H$65,2,FALSE()))</f>
        <v/>
      </c>
      <c r="J1134" s="35" t="str">
        <f>IF(ISBLANK(A1134),"",VLOOKUP(C1134,RELACIONES!$A$3:$B$70,2,FALSE))</f>
        <v/>
      </c>
      <c r="K1134" s="35" t="str">
        <f>IF(ISBLANK(A1134),"",VLOOKUP(J1134,RELACIONES!$B$3:$E$83,4,FALSE)*E1134)</f>
        <v/>
      </c>
    </row>
    <row r="1135" ht="15.75" customHeight="1">
      <c r="A1135" s="50"/>
      <c r="B1135" s="50"/>
      <c r="C1135" s="50"/>
      <c r="D1135" s="50"/>
      <c r="E1135" s="50"/>
      <c r="F1135" s="50"/>
      <c r="G1135" s="50"/>
      <c r="H1135" s="50"/>
      <c r="I1135" s="34" t="str">
        <f>IF(ISBLANK(A1135),"",VLOOKUP(A1135,RELACIONES!$G$3:$H$65,2,FALSE()))</f>
        <v/>
      </c>
      <c r="J1135" s="35" t="str">
        <f>IF(ISBLANK(A1135),"",VLOOKUP(C1135,RELACIONES!$A$3:$B$70,2,FALSE))</f>
        <v/>
      </c>
      <c r="K1135" s="35" t="str">
        <f>IF(ISBLANK(A1135),"",VLOOKUP(J1135,RELACIONES!$B$3:$E$83,4,FALSE)*E1135)</f>
        <v/>
      </c>
    </row>
    <row r="1136" ht="15.75" customHeight="1">
      <c r="A1136" s="50"/>
      <c r="B1136" s="50"/>
      <c r="C1136" s="50"/>
      <c r="D1136" s="50"/>
      <c r="E1136" s="50"/>
      <c r="F1136" s="50"/>
      <c r="G1136" s="50"/>
      <c r="H1136" s="50"/>
      <c r="I1136" s="34" t="str">
        <f>IF(ISBLANK(A1136),"",VLOOKUP(A1136,RELACIONES!$G$3:$H$65,2,FALSE()))</f>
        <v/>
      </c>
      <c r="J1136" s="35" t="str">
        <f>IF(ISBLANK(A1136),"",VLOOKUP(C1136,RELACIONES!$A$3:$B$70,2,FALSE))</f>
        <v/>
      </c>
      <c r="K1136" s="35" t="str">
        <f>IF(ISBLANK(A1136),"",VLOOKUP(J1136,RELACIONES!$B$3:$E$83,4,FALSE)*E1136)</f>
        <v/>
      </c>
    </row>
    <row r="1137" ht="15.75" customHeight="1">
      <c r="A1137" s="50"/>
      <c r="B1137" s="50"/>
      <c r="C1137" s="50"/>
      <c r="D1137" s="50"/>
      <c r="E1137" s="50"/>
      <c r="F1137" s="50"/>
      <c r="G1137" s="50"/>
      <c r="H1137" s="50"/>
      <c r="I1137" s="34" t="str">
        <f>IF(ISBLANK(A1137),"",VLOOKUP(A1137,RELACIONES!$G$3:$H$65,2,FALSE()))</f>
        <v/>
      </c>
      <c r="J1137" s="35" t="str">
        <f>IF(ISBLANK(A1137),"",VLOOKUP(C1137,RELACIONES!$A$3:$B$70,2,FALSE))</f>
        <v/>
      </c>
      <c r="K1137" s="35" t="str">
        <f>IF(ISBLANK(A1137),"",VLOOKUP(J1137,RELACIONES!$B$3:$E$83,4,FALSE)*E1137)</f>
        <v/>
      </c>
    </row>
    <row r="1138" ht="15.75" customHeight="1">
      <c r="A1138" s="50"/>
      <c r="B1138" s="50"/>
      <c r="C1138" s="50"/>
      <c r="D1138" s="50"/>
      <c r="E1138" s="50"/>
      <c r="F1138" s="50"/>
      <c r="G1138" s="50"/>
      <c r="H1138" s="50"/>
      <c r="I1138" s="34" t="str">
        <f>IF(ISBLANK(A1138),"",VLOOKUP(A1138,RELACIONES!$G$3:$H$65,2,FALSE()))</f>
        <v/>
      </c>
      <c r="J1138" s="35" t="str">
        <f>IF(ISBLANK(A1138),"",VLOOKUP(C1138,RELACIONES!$A$3:$B$70,2,FALSE))</f>
        <v/>
      </c>
      <c r="K1138" s="35" t="str">
        <f>IF(ISBLANK(A1138),"",VLOOKUP(J1138,RELACIONES!$B$3:$E$83,4,FALSE)*E1138)</f>
        <v/>
      </c>
    </row>
    <row r="1139" ht="15.75" customHeight="1">
      <c r="A1139" s="50"/>
      <c r="B1139" s="50"/>
      <c r="C1139" s="50"/>
      <c r="D1139" s="50"/>
      <c r="E1139" s="50"/>
      <c r="F1139" s="50"/>
      <c r="G1139" s="50"/>
      <c r="H1139" s="50"/>
      <c r="I1139" s="34" t="str">
        <f>IF(ISBLANK(A1139),"",VLOOKUP(A1139,RELACIONES!$G$3:$H$65,2,FALSE()))</f>
        <v/>
      </c>
      <c r="J1139" s="35" t="str">
        <f>IF(ISBLANK(A1139),"",VLOOKUP(C1139,RELACIONES!$A$3:$B$70,2,FALSE))</f>
        <v/>
      </c>
      <c r="K1139" s="35" t="str">
        <f>IF(ISBLANK(A1139),"",VLOOKUP(J1139,RELACIONES!$B$3:$E$83,4,FALSE)*E1139)</f>
        <v/>
      </c>
    </row>
    <row r="1140" ht="15.75" customHeight="1">
      <c r="A1140" s="50"/>
      <c r="B1140" s="50"/>
      <c r="C1140" s="50"/>
      <c r="D1140" s="50"/>
      <c r="E1140" s="50"/>
      <c r="F1140" s="50"/>
      <c r="G1140" s="50"/>
      <c r="H1140" s="50"/>
      <c r="I1140" s="34" t="str">
        <f>IF(ISBLANK(A1140),"",VLOOKUP(A1140,RELACIONES!$G$3:$H$65,2,FALSE()))</f>
        <v/>
      </c>
      <c r="J1140" s="35" t="str">
        <f>IF(ISBLANK(A1140),"",VLOOKUP(C1140,RELACIONES!$A$3:$B$70,2,FALSE))</f>
        <v/>
      </c>
      <c r="K1140" s="35" t="str">
        <f>IF(ISBLANK(A1140),"",VLOOKUP(J1140,RELACIONES!$B$3:$E$83,4,FALSE)*E1140)</f>
        <v/>
      </c>
    </row>
    <row r="1141" ht="15.75" customHeight="1">
      <c r="A1141" s="50"/>
      <c r="B1141" s="50"/>
      <c r="C1141" s="50"/>
      <c r="D1141" s="50"/>
      <c r="E1141" s="50"/>
      <c r="F1141" s="50"/>
      <c r="G1141" s="50"/>
      <c r="H1141" s="50"/>
      <c r="I1141" s="34" t="str">
        <f>IF(ISBLANK(A1141),"",VLOOKUP(A1141,RELACIONES!$G$3:$H$65,2,FALSE()))</f>
        <v/>
      </c>
      <c r="J1141" s="35" t="str">
        <f>IF(ISBLANK(A1141),"",VLOOKUP(C1141,RELACIONES!$A$3:$B$70,2,FALSE))</f>
        <v/>
      </c>
      <c r="K1141" s="35" t="str">
        <f>IF(ISBLANK(A1141),"",VLOOKUP(J1141,RELACIONES!$B$3:$E$83,4,FALSE)*E1141)</f>
        <v/>
      </c>
    </row>
    <row r="1142" ht="15.75" customHeight="1">
      <c r="A1142" s="50"/>
      <c r="B1142" s="50"/>
      <c r="C1142" s="50"/>
      <c r="D1142" s="50"/>
      <c r="E1142" s="50"/>
      <c r="F1142" s="50"/>
      <c r="G1142" s="50"/>
      <c r="H1142" s="50"/>
      <c r="I1142" s="34" t="str">
        <f>IF(ISBLANK(A1142),"",VLOOKUP(A1142,RELACIONES!$G$3:$H$65,2,FALSE()))</f>
        <v/>
      </c>
      <c r="J1142" s="35" t="str">
        <f>IF(ISBLANK(A1142),"",VLOOKUP(C1142,RELACIONES!$A$3:$B$70,2,FALSE))</f>
        <v/>
      </c>
      <c r="K1142" s="35" t="str">
        <f>IF(ISBLANK(A1142),"",VLOOKUP(J1142,RELACIONES!$B$3:$E$83,4,FALSE)*E1142)</f>
        <v/>
      </c>
    </row>
    <row r="1143" ht="15.75" customHeight="1">
      <c r="A1143" s="50"/>
      <c r="B1143" s="50"/>
      <c r="C1143" s="50"/>
      <c r="D1143" s="50"/>
      <c r="E1143" s="50"/>
      <c r="F1143" s="50"/>
      <c r="G1143" s="50"/>
      <c r="H1143" s="50"/>
      <c r="I1143" s="34" t="str">
        <f>IF(ISBLANK(A1143),"",VLOOKUP(A1143,RELACIONES!$G$3:$H$65,2,FALSE()))</f>
        <v/>
      </c>
      <c r="J1143" s="35" t="str">
        <f>IF(ISBLANK(A1143),"",VLOOKUP(C1143,RELACIONES!$A$3:$B$70,2,FALSE))</f>
        <v/>
      </c>
      <c r="K1143" s="35" t="str">
        <f>IF(ISBLANK(A1143),"",VLOOKUP(J1143,RELACIONES!$B$3:$E$83,4,FALSE)*E1143)</f>
        <v/>
      </c>
    </row>
    <row r="1144" ht="15.75" customHeight="1">
      <c r="A1144" s="50"/>
      <c r="B1144" s="50"/>
      <c r="C1144" s="50"/>
      <c r="D1144" s="50"/>
      <c r="E1144" s="50"/>
      <c r="F1144" s="50"/>
      <c r="G1144" s="50"/>
      <c r="H1144" s="50"/>
      <c r="I1144" s="34" t="str">
        <f>IF(ISBLANK(A1144),"",VLOOKUP(A1144,RELACIONES!$G$3:$H$65,2,FALSE()))</f>
        <v/>
      </c>
      <c r="J1144" s="35" t="str">
        <f>IF(ISBLANK(A1144),"",VLOOKUP(C1144,RELACIONES!$A$3:$B$70,2,FALSE))</f>
        <v/>
      </c>
      <c r="K1144" s="35" t="str">
        <f>IF(ISBLANK(A1144),"",VLOOKUP(J1144,RELACIONES!$B$3:$E$83,4,FALSE)*E1144)</f>
        <v/>
      </c>
    </row>
    <row r="1145" ht="15.75" customHeight="1">
      <c r="A1145" s="50"/>
      <c r="B1145" s="50"/>
      <c r="C1145" s="50"/>
      <c r="D1145" s="50"/>
      <c r="E1145" s="50"/>
      <c r="F1145" s="50"/>
      <c r="G1145" s="50"/>
      <c r="H1145" s="50"/>
      <c r="I1145" s="34" t="str">
        <f>IF(ISBLANK(A1145),"",VLOOKUP(A1145,RELACIONES!$G$3:$H$65,2,FALSE()))</f>
        <v/>
      </c>
      <c r="J1145" s="35" t="str">
        <f>IF(ISBLANK(A1145),"",VLOOKUP(C1145,RELACIONES!$A$3:$B$70,2,FALSE))</f>
        <v/>
      </c>
      <c r="K1145" s="35" t="str">
        <f>IF(ISBLANK(A1145),"",VLOOKUP(J1145,RELACIONES!$B$3:$E$83,4,FALSE)*E1145)</f>
        <v/>
      </c>
    </row>
    <row r="1146" ht="15.75" customHeight="1">
      <c r="A1146" s="50"/>
      <c r="B1146" s="50"/>
      <c r="C1146" s="50"/>
      <c r="D1146" s="50"/>
      <c r="E1146" s="50"/>
      <c r="F1146" s="50"/>
      <c r="G1146" s="50"/>
      <c r="H1146" s="50"/>
      <c r="I1146" s="34" t="str">
        <f>IF(ISBLANK(A1146),"",VLOOKUP(A1146,RELACIONES!$G$3:$H$65,2,FALSE()))</f>
        <v/>
      </c>
      <c r="J1146" s="35" t="str">
        <f>IF(ISBLANK(A1146),"",VLOOKUP(C1146,RELACIONES!$A$3:$B$70,2,FALSE))</f>
        <v/>
      </c>
      <c r="K1146" s="35" t="str">
        <f>IF(ISBLANK(A1146),"",VLOOKUP(J1146,RELACIONES!$B$3:$E$83,4,FALSE)*E1146)</f>
        <v/>
      </c>
    </row>
    <row r="1147" ht="15.75" customHeight="1">
      <c r="A1147" s="50"/>
      <c r="B1147" s="50"/>
      <c r="C1147" s="50"/>
      <c r="D1147" s="50"/>
      <c r="E1147" s="50"/>
      <c r="F1147" s="50"/>
      <c r="G1147" s="50"/>
      <c r="H1147" s="50"/>
      <c r="I1147" s="34" t="str">
        <f>IF(ISBLANK(A1147),"",VLOOKUP(A1147,RELACIONES!$G$3:$H$65,2,FALSE()))</f>
        <v/>
      </c>
      <c r="J1147" s="35" t="str">
        <f>IF(ISBLANK(A1147),"",VLOOKUP(C1147,RELACIONES!$A$3:$B$70,2,FALSE))</f>
        <v/>
      </c>
      <c r="K1147" s="35" t="str">
        <f>IF(ISBLANK(A1147),"",VLOOKUP(J1147,RELACIONES!$B$3:$E$83,4,FALSE)*E1147)</f>
        <v/>
      </c>
    </row>
    <row r="1148" ht="15.75" customHeight="1">
      <c r="A1148" s="50"/>
      <c r="B1148" s="50"/>
      <c r="C1148" s="50"/>
      <c r="D1148" s="50"/>
      <c r="E1148" s="50"/>
      <c r="F1148" s="50"/>
      <c r="G1148" s="50"/>
      <c r="H1148" s="50"/>
      <c r="I1148" s="34" t="str">
        <f>IF(ISBLANK(A1148),"",VLOOKUP(A1148,RELACIONES!$G$3:$H$65,2,FALSE()))</f>
        <v/>
      </c>
      <c r="J1148" s="35" t="str">
        <f>IF(ISBLANK(A1148),"",VLOOKUP(C1148,RELACIONES!$A$3:$B$70,2,FALSE))</f>
        <v/>
      </c>
      <c r="K1148" s="35" t="str">
        <f>IF(ISBLANK(A1148),"",VLOOKUP(J1148,RELACIONES!$B$3:$E$83,4,FALSE)*E1148)</f>
        <v/>
      </c>
    </row>
    <row r="1149" ht="15.75" customHeight="1">
      <c r="A1149" s="50"/>
      <c r="B1149" s="50"/>
      <c r="C1149" s="50"/>
      <c r="D1149" s="50"/>
      <c r="E1149" s="50"/>
      <c r="F1149" s="50"/>
      <c r="G1149" s="50"/>
      <c r="H1149" s="50"/>
      <c r="I1149" s="34" t="str">
        <f>IF(ISBLANK(A1149),"",VLOOKUP(A1149,RELACIONES!$G$3:$H$65,2,FALSE()))</f>
        <v/>
      </c>
      <c r="J1149" s="35" t="str">
        <f>IF(ISBLANK(A1149),"",VLOOKUP(C1149,RELACIONES!$A$3:$B$70,2,FALSE))</f>
        <v/>
      </c>
      <c r="K1149" s="35" t="str">
        <f>IF(ISBLANK(A1149),"",VLOOKUP(J1149,RELACIONES!$B$3:$E$83,4,FALSE)*E1149)</f>
        <v/>
      </c>
    </row>
    <row r="1150" ht="15.75" customHeight="1">
      <c r="A1150" s="50"/>
      <c r="B1150" s="50"/>
      <c r="C1150" s="50"/>
      <c r="D1150" s="50"/>
      <c r="E1150" s="50"/>
      <c r="F1150" s="50"/>
      <c r="G1150" s="50"/>
      <c r="H1150" s="50"/>
      <c r="I1150" s="34" t="str">
        <f>IF(ISBLANK(A1150),"",VLOOKUP(A1150,RELACIONES!$G$3:$H$65,2,FALSE()))</f>
        <v/>
      </c>
      <c r="J1150" s="35" t="str">
        <f>IF(ISBLANK(A1150),"",VLOOKUP(C1150,RELACIONES!$A$3:$B$70,2,FALSE))</f>
        <v/>
      </c>
      <c r="K1150" s="35" t="str">
        <f>IF(ISBLANK(A1150),"",VLOOKUP(J1150,RELACIONES!$B$3:$E$83,4,FALSE)*E1150)</f>
        <v/>
      </c>
    </row>
    <row r="1151" ht="15.75" customHeight="1">
      <c r="A1151" s="50"/>
      <c r="B1151" s="50"/>
      <c r="C1151" s="50"/>
      <c r="D1151" s="50"/>
      <c r="E1151" s="50"/>
      <c r="F1151" s="50"/>
      <c r="G1151" s="50"/>
      <c r="H1151" s="50"/>
      <c r="I1151" s="34" t="str">
        <f>IF(ISBLANK(A1151),"",VLOOKUP(A1151,RELACIONES!$G$3:$H$65,2,FALSE()))</f>
        <v/>
      </c>
      <c r="J1151" s="35" t="str">
        <f>IF(ISBLANK(A1151),"",VLOOKUP(C1151,RELACIONES!$A$3:$B$70,2,FALSE))</f>
        <v/>
      </c>
      <c r="K1151" s="35" t="str">
        <f>IF(ISBLANK(A1151),"",VLOOKUP(J1151,RELACIONES!$B$3:$E$83,4,FALSE)*E1151)</f>
        <v/>
      </c>
    </row>
    <row r="1152" ht="15.75" customHeight="1">
      <c r="A1152" s="50"/>
      <c r="B1152" s="50"/>
      <c r="C1152" s="50"/>
      <c r="D1152" s="50"/>
      <c r="E1152" s="50"/>
      <c r="F1152" s="50"/>
      <c r="G1152" s="50"/>
      <c r="H1152" s="50"/>
      <c r="I1152" s="34" t="str">
        <f>IF(ISBLANK(A1152),"",VLOOKUP(A1152,RELACIONES!$G$3:$H$65,2,FALSE()))</f>
        <v/>
      </c>
      <c r="J1152" s="35" t="str">
        <f>IF(ISBLANK(A1152),"",VLOOKUP(C1152,RELACIONES!$A$3:$B$70,2,FALSE))</f>
        <v/>
      </c>
      <c r="K1152" s="35" t="str">
        <f>IF(ISBLANK(A1152),"",VLOOKUP(J1152,RELACIONES!$B$3:$E$83,4,FALSE)*E1152)</f>
        <v/>
      </c>
    </row>
    <row r="1153" ht="15.75" customHeight="1">
      <c r="A1153" s="50"/>
      <c r="B1153" s="50"/>
      <c r="C1153" s="50"/>
      <c r="D1153" s="50"/>
      <c r="E1153" s="50"/>
      <c r="F1153" s="50"/>
      <c r="G1153" s="50"/>
      <c r="H1153" s="50"/>
      <c r="I1153" s="34" t="str">
        <f>IF(ISBLANK(A1153),"",VLOOKUP(A1153,RELACIONES!$G$3:$H$65,2,FALSE()))</f>
        <v/>
      </c>
      <c r="J1153" s="35" t="str">
        <f>IF(ISBLANK(A1153),"",VLOOKUP(C1153,RELACIONES!$A$3:$B$70,2,FALSE))</f>
        <v/>
      </c>
      <c r="K1153" s="35" t="str">
        <f>IF(ISBLANK(A1153),"",VLOOKUP(J1153,RELACIONES!$B$3:$E$83,4,FALSE)*E1153)</f>
        <v/>
      </c>
    </row>
    <row r="1154" ht="15.75" customHeight="1">
      <c r="A1154" s="50"/>
      <c r="B1154" s="50"/>
      <c r="C1154" s="50"/>
      <c r="D1154" s="50"/>
      <c r="E1154" s="50"/>
      <c r="F1154" s="50"/>
      <c r="G1154" s="50"/>
      <c r="H1154" s="50"/>
      <c r="I1154" s="34" t="str">
        <f>IF(ISBLANK(A1154),"",VLOOKUP(A1154,RELACIONES!$G$3:$H$65,2,FALSE()))</f>
        <v/>
      </c>
      <c r="J1154" s="35" t="str">
        <f>IF(ISBLANK(A1154),"",VLOOKUP(C1154,RELACIONES!$A$3:$B$70,2,FALSE))</f>
        <v/>
      </c>
      <c r="K1154" s="35" t="str">
        <f>IF(ISBLANK(A1154),"",VLOOKUP(J1154,RELACIONES!$B$3:$E$83,4,FALSE)*E1154)</f>
        <v/>
      </c>
    </row>
    <row r="1155" ht="15.75" customHeight="1">
      <c r="A1155" s="50"/>
      <c r="B1155" s="50"/>
      <c r="C1155" s="50"/>
      <c r="D1155" s="50"/>
      <c r="E1155" s="50"/>
      <c r="F1155" s="50"/>
      <c r="G1155" s="50"/>
      <c r="H1155" s="50"/>
      <c r="I1155" s="34" t="str">
        <f>IF(ISBLANK(A1155),"",VLOOKUP(A1155,RELACIONES!$G$3:$H$65,2,FALSE()))</f>
        <v/>
      </c>
      <c r="J1155" s="35" t="str">
        <f>IF(ISBLANK(A1155),"",VLOOKUP(C1155,RELACIONES!$A$3:$B$70,2,FALSE))</f>
        <v/>
      </c>
      <c r="K1155" s="35" t="str">
        <f>IF(ISBLANK(A1155),"",VLOOKUP(J1155,RELACIONES!$B$3:$E$83,4,FALSE)*E1155)</f>
        <v/>
      </c>
    </row>
    <row r="1156" ht="15.75" customHeight="1">
      <c r="A1156" s="50"/>
      <c r="B1156" s="50"/>
      <c r="C1156" s="50"/>
      <c r="D1156" s="50"/>
      <c r="E1156" s="50"/>
      <c r="F1156" s="50"/>
      <c r="G1156" s="50"/>
      <c r="H1156" s="50"/>
      <c r="I1156" s="34" t="str">
        <f>IF(ISBLANK(A1156),"",VLOOKUP(A1156,RELACIONES!$G$3:$H$65,2,FALSE()))</f>
        <v/>
      </c>
      <c r="J1156" s="35" t="str">
        <f>IF(ISBLANK(A1156),"",VLOOKUP(C1156,RELACIONES!$A$3:$B$70,2,FALSE))</f>
        <v/>
      </c>
      <c r="K1156" s="35" t="str">
        <f>IF(ISBLANK(A1156),"",VLOOKUP(J1156,RELACIONES!$B$3:$E$83,4,FALSE)*E1156)</f>
        <v/>
      </c>
    </row>
    <row r="1157" ht="15.75" customHeight="1">
      <c r="A1157" s="50"/>
      <c r="B1157" s="50"/>
      <c r="C1157" s="50"/>
      <c r="D1157" s="50"/>
      <c r="E1157" s="50"/>
      <c r="F1157" s="50"/>
      <c r="G1157" s="50"/>
      <c r="H1157" s="50"/>
      <c r="I1157" s="34" t="str">
        <f>IF(ISBLANK(A1157),"",VLOOKUP(A1157,RELACIONES!$G$3:$H$65,2,FALSE()))</f>
        <v/>
      </c>
      <c r="J1157" s="35" t="str">
        <f>IF(ISBLANK(A1157),"",VLOOKUP(C1157,RELACIONES!$A$3:$B$70,2,FALSE))</f>
        <v/>
      </c>
      <c r="K1157" s="35" t="str">
        <f>IF(ISBLANK(A1157),"",VLOOKUP(J1157,RELACIONES!$B$3:$E$83,4,FALSE)*E1157)</f>
        <v/>
      </c>
    </row>
    <row r="1158" ht="15.75" customHeight="1">
      <c r="A1158" s="50"/>
      <c r="B1158" s="50"/>
      <c r="C1158" s="50"/>
      <c r="D1158" s="50"/>
      <c r="E1158" s="50"/>
      <c r="F1158" s="50"/>
      <c r="G1158" s="50"/>
      <c r="H1158" s="50"/>
      <c r="I1158" s="34" t="str">
        <f>IF(ISBLANK(A1158),"",VLOOKUP(A1158,RELACIONES!$G$3:$H$65,2,FALSE()))</f>
        <v/>
      </c>
      <c r="J1158" s="35" t="str">
        <f>IF(ISBLANK(A1158),"",VLOOKUP(C1158,RELACIONES!$A$3:$B$70,2,FALSE))</f>
        <v/>
      </c>
      <c r="K1158" s="35" t="str">
        <f>IF(ISBLANK(A1158),"",VLOOKUP(J1158,RELACIONES!$B$3:$E$83,4,FALSE)*E1158)</f>
        <v/>
      </c>
    </row>
    <row r="1159" ht="15.75" customHeight="1">
      <c r="A1159" s="50"/>
      <c r="B1159" s="50"/>
      <c r="C1159" s="50"/>
      <c r="D1159" s="50"/>
      <c r="E1159" s="50"/>
      <c r="F1159" s="50"/>
      <c r="G1159" s="50"/>
      <c r="H1159" s="50"/>
      <c r="I1159" s="34" t="str">
        <f>IF(ISBLANK(A1159),"",VLOOKUP(A1159,RELACIONES!$G$3:$H$65,2,FALSE()))</f>
        <v/>
      </c>
      <c r="J1159" s="35" t="str">
        <f>IF(ISBLANK(A1159),"",VLOOKUP(C1159,RELACIONES!$A$3:$B$70,2,FALSE))</f>
        <v/>
      </c>
      <c r="K1159" s="35" t="str">
        <f>IF(ISBLANK(A1159),"",VLOOKUP(J1159,RELACIONES!$B$3:$E$83,4,FALSE)*E1159)</f>
        <v/>
      </c>
    </row>
    <row r="1160" ht="15.75" customHeight="1">
      <c r="A1160" s="50"/>
      <c r="B1160" s="50"/>
      <c r="C1160" s="50"/>
      <c r="D1160" s="50"/>
      <c r="E1160" s="50"/>
      <c r="F1160" s="50"/>
      <c r="G1160" s="50"/>
      <c r="H1160" s="50"/>
      <c r="I1160" s="34" t="str">
        <f>IF(ISBLANK(A1160),"",VLOOKUP(A1160,RELACIONES!$G$3:$H$65,2,FALSE()))</f>
        <v/>
      </c>
      <c r="J1160" s="35" t="str">
        <f>IF(ISBLANK(A1160),"",VLOOKUP(C1160,RELACIONES!$A$3:$B$70,2,FALSE))</f>
        <v/>
      </c>
      <c r="K1160" s="35" t="str">
        <f>IF(ISBLANK(A1160),"",VLOOKUP(J1160,RELACIONES!$B$3:$E$83,4,FALSE)*E1160)</f>
        <v/>
      </c>
    </row>
    <row r="1161" ht="15.75" customHeight="1">
      <c r="A1161" s="50"/>
      <c r="B1161" s="50"/>
      <c r="C1161" s="50"/>
      <c r="D1161" s="50"/>
      <c r="E1161" s="50"/>
      <c r="F1161" s="50"/>
      <c r="G1161" s="50"/>
      <c r="H1161" s="50"/>
      <c r="I1161" s="34" t="str">
        <f>IF(ISBLANK(A1161),"",VLOOKUP(A1161,RELACIONES!$G$3:$H$65,2,FALSE()))</f>
        <v/>
      </c>
      <c r="J1161" s="35" t="str">
        <f>IF(ISBLANK(A1161),"",VLOOKUP(C1161,RELACIONES!$A$3:$B$70,2,FALSE))</f>
        <v/>
      </c>
      <c r="K1161" s="35" t="str">
        <f>IF(ISBLANK(A1161),"",VLOOKUP(J1161,RELACIONES!$B$3:$E$83,4,FALSE)*E1161)</f>
        <v/>
      </c>
    </row>
    <row r="1162" ht="15.75" customHeight="1">
      <c r="A1162" s="50"/>
      <c r="B1162" s="50"/>
      <c r="C1162" s="50"/>
      <c r="D1162" s="50"/>
      <c r="E1162" s="50"/>
      <c r="F1162" s="50"/>
      <c r="G1162" s="50"/>
      <c r="H1162" s="50"/>
      <c r="I1162" s="34" t="str">
        <f>IF(ISBLANK(A1162),"",VLOOKUP(A1162,RELACIONES!$G$3:$H$65,2,FALSE()))</f>
        <v/>
      </c>
      <c r="J1162" s="35" t="str">
        <f>IF(ISBLANK(A1162),"",VLOOKUP(C1162,RELACIONES!$A$3:$B$70,2,FALSE))</f>
        <v/>
      </c>
      <c r="K1162" s="35" t="str">
        <f>IF(ISBLANK(A1162),"",VLOOKUP(J1162,RELACIONES!$B$3:$E$83,4,FALSE)*E1162)</f>
        <v/>
      </c>
    </row>
    <row r="1163" ht="15.75" customHeight="1">
      <c r="A1163" s="50"/>
      <c r="B1163" s="50"/>
      <c r="C1163" s="50"/>
      <c r="D1163" s="50"/>
      <c r="E1163" s="50"/>
      <c r="F1163" s="50"/>
      <c r="G1163" s="50"/>
      <c r="H1163" s="50"/>
      <c r="I1163" s="34" t="str">
        <f>IF(ISBLANK(A1163),"",VLOOKUP(A1163,RELACIONES!$G$3:$H$65,2,FALSE()))</f>
        <v/>
      </c>
      <c r="J1163" s="35" t="str">
        <f>IF(ISBLANK(A1163),"",VLOOKUP(C1163,RELACIONES!$A$3:$B$70,2,FALSE))</f>
        <v/>
      </c>
      <c r="K1163" s="35" t="str">
        <f>IF(ISBLANK(A1163),"",VLOOKUP(J1163,RELACIONES!$B$3:$E$83,4,FALSE)*E1163)</f>
        <v/>
      </c>
    </row>
    <row r="1164" ht="15.75" customHeight="1">
      <c r="A1164" s="50"/>
      <c r="B1164" s="50"/>
      <c r="C1164" s="50"/>
      <c r="D1164" s="50"/>
      <c r="E1164" s="50"/>
      <c r="F1164" s="50"/>
      <c r="G1164" s="50"/>
      <c r="H1164" s="50"/>
      <c r="I1164" s="34" t="str">
        <f>IF(ISBLANK(A1164),"",VLOOKUP(A1164,RELACIONES!$G$3:$H$65,2,FALSE()))</f>
        <v/>
      </c>
      <c r="J1164" s="35" t="str">
        <f>IF(ISBLANK(A1164),"",VLOOKUP(C1164,RELACIONES!$A$3:$B$70,2,FALSE))</f>
        <v/>
      </c>
      <c r="K1164" s="35" t="str">
        <f>IF(ISBLANK(A1164),"",VLOOKUP(J1164,RELACIONES!$B$3:$E$83,4,FALSE)*E1164)</f>
        <v/>
      </c>
    </row>
    <row r="1165" ht="15.75" customHeight="1">
      <c r="A1165" s="50"/>
      <c r="B1165" s="50"/>
      <c r="C1165" s="50"/>
      <c r="D1165" s="50"/>
      <c r="E1165" s="50"/>
      <c r="F1165" s="50"/>
      <c r="G1165" s="50"/>
      <c r="H1165" s="50"/>
      <c r="I1165" s="34" t="str">
        <f>IF(ISBLANK(A1165),"",VLOOKUP(A1165,RELACIONES!$G$3:$H$65,2,FALSE()))</f>
        <v/>
      </c>
      <c r="J1165" s="35" t="str">
        <f>IF(ISBLANK(A1165),"",VLOOKUP(C1165,RELACIONES!$A$3:$B$70,2,FALSE))</f>
        <v/>
      </c>
      <c r="K1165" s="35" t="str">
        <f>IF(ISBLANK(A1165),"",VLOOKUP(J1165,RELACIONES!$B$3:$E$83,4,FALSE)*E1165)</f>
        <v/>
      </c>
    </row>
    <row r="1166" ht="15.75" customHeight="1">
      <c r="A1166" s="50"/>
      <c r="B1166" s="50"/>
      <c r="C1166" s="50"/>
      <c r="D1166" s="50"/>
      <c r="E1166" s="50"/>
      <c r="F1166" s="50"/>
      <c r="G1166" s="50"/>
      <c r="H1166" s="50"/>
      <c r="I1166" s="34" t="str">
        <f>IF(ISBLANK(A1166),"",VLOOKUP(A1166,RELACIONES!$G$3:$H$65,2,FALSE()))</f>
        <v/>
      </c>
      <c r="J1166" s="35" t="str">
        <f>IF(ISBLANK(A1166),"",VLOOKUP(C1166,RELACIONES!$A$3:$B$70,2,FALSE))</f>
        <v/>
      </c>
      <c r="K1166" s="35" t="str">
        <f>IF(ISBLANK(A1166),"",VLOOKUP(J1166,RELACIONES!$B$3:$E$83,4,FALSE)*E1166)</f>
        <v/>
      </c>
    </row>
    <row r="1167" ht="15.75" customHeight="1">
      <c r="A1167" s="50"/>
      <c r="B1167" s="50"/>
      <c r="C1167" s="50"/>
      <c r="D1167" s="50"/>
      <c r="E1167" s="50"/>
      <c r="F1167" s="50"/>
      <c r="G1167" s="50"/>
      <c r="H1167" s="50"/>
      <c r="I1167" s="34" t="str">
        <f>IF(ISBLANK(A1167),"",VLOOKUP(A1167,RELACIONES!$G$3:$H$65,2,FALSE()))</f>
        <v/>
      </c>
      <c r="J1167" s="35" t="str">
        <f>IF(ISBLANK(A1167),"",VLOOKUP(C1167,RELACIONES!$A$3:$B$70,2,FALSE))</f>
        <v/>
      </c>
      <c r="K1167" s="35" t="str">
        <f>IF(ISBLANK(A1167),"",VLOOKUP(J1167,RELACIONES!$B$3:$E$83,4,FALSE)*E1167)</f>
        <v/>
      </c>
    </row>
    <row r="1168" ht="15.75" customHeight="1">
      <c r="A1168" s="50"/>
      <c r="B1168" s="50"/>
      <c r="C1168" s="50"/>
      <c r="D1168" s="50"/>
      <c r="E1168" s="50"/>
      <c r="F1168" s="50"/>
      <c r="G1168" s="50"/>
      <c r="H1168" s="50"/>
      <c r="I1168" s="34" t="str">
        <f>IF(ISBLANK(A1168),"",VLOOKUP(A1168,RELACIONES!$G$3:$H$65,2,FALSE()))</f>
        <v/>
      </c>
      <c r="J1168" s="35" t="str">
        <f>IF(ISBLANK(A1168),"",VLOOKUP(C1168,RELACIONES!$A$3:$B$70,2,FALSE))</f>
        <v/>
      </c>
      <c r="K1168" s="35" t="str">
        <f>IF(ISBLANK(A1168),"",VLOOKUP(J1168,RELACIONES!$B$3:$E$83,4,FALSE)*E1168)</f>
        <v/>
      </c>
    </row>
    <row r="1169" ht="15.75" customHeight="1">
      <c r="A1169" s="50"/>
      <c r="B1169" s="50"/>
      <c r="C1169" s="50"/>
      <c r="D1169" s="50"/>
      <c r="E1169" s="50"/>
      <c r="F1169" s="50"/>
      <c r="G1169" s="50"/>
      <c r="H1169" s="50"/>
      <c r="I1169" s="34" t="str">
        <f>IF(ISBLANK(A1169),"",VLOOKUP(A1169,RELACIONES!$G$3:$H$65,2,FALSE()))</f>
        <v/>
      </c>
      <c r="J1169" s="35" t="str">
        <f>IF(ISBLANK(A1169),"",VLOOKUP(C1169,RELACIONES!$A$3:$B$70,2,FALSE))</f>
        <v/>
      </c>
      <c r="K1169" s="35" t="str">
        <f>IF(ISBLANK(A1169),"",VLOOKUP(J1169,RELACIONES!$B$3:$E$83,4,FALSE)*E1169)</f>
        <v/>
      </c>
    </row>
    <row r="1170" ht="15.75" customHeight="1">
      <c r="A1170" s="50"/>
      <c r="B1170" s="50"/>
      <c r="C1170" s="50"/>
      <c r="D1170" s="50"/>
      <c r="E1170" s="50"/>
      <c r="F1170" s="50"/>
      <c r="G1170" s="50"/>
      <c r="H1170" s="50"/>
      <c r="I1170" s="34" t="str">
        <f>IF(ISBLANK(A1170),"",VLOOKUP(A1170,RELACIONES!$G$3:$H$65,2,FALSE()))</f>
        <v/>
      </c>
      <c r="J1170" s="35" t="str">
        <f>IF(ISBLANK(A1170),"",VLOOKUP(C1170,RELACIONES!$A$3:$B$70,2,FALSE))</f>
        <v/>
      </c>
      <c r="K1170" s="35" t="str">
        <f>IF(ISBLANK(A1170),"",VLOOKUP(J1170,RELACIONES!$B$3:$E$83,4,FALSE)*E1170)</f>
        <v/>
      </c>
    </row>
    <row r="1171" ht="15.75" customHeight="1">
      <c r="A1171" s="50"/>
      <c r="B1171" s="50"/>
      <c r="C1171" s="50"/>
      <c r="D1171" s="50"/>
      <c r="E1171" s="50"/>
      <c r="F1171" s="50"/>
      <c r="G1171" s="50"/>
      <c r="H1171" s="50"/>
      <c r="I1171" s="34" t="str">
        <f>IF(ISBLANK(A1171),"",VLOOKUP(A1171,RELACIONES!$G$3:$H$65,2,FALSE()))</f>
        <v/>
      </c>
      <c r="J1171" s="35" t="str">
        <f>IF(ISBLANK(A1171),"",VLOOKUP(C1171,RELACIONES!$A$3:$B$70,2,FALSE))</f>
        <v/>
      </c>
      <c r="K1171" s="35" t="str">
        <f>IF(ISBLANK(A1171),"",VLOOKUP(J1171,RELACIONES!$B$3:$E$83,4,FALSE)*E1171)</f>
        <v/>
      </c>
    </row>
    <row r="1172" ht="15.75" customHeight="1">
      <c r="A1172" s="50"/>
      <c r="B1172" s="50"/>
      <c r="C1172" s="50"/>
      <c r="D1172" s="50"/>
      <c r="E1172" s="50"/>
      <c r="F1172" s="50"/>
      <c r="G1172" s="50"/>
      <c r="H1172" s="50"/>
      <c r="I1172" s="34" t="str">
        <f>IF(ISBLANK(A1172),"",VLOOKUP(A1172,RELACIONES!$G$3:$H$65,2,FALSE()))</f>
        <v/>
      </c>
      <c r="J1172" s="35" t="str">
        <f>IF(ISBLANK(A1172),"",VLOOKUP(C1172,RELACIONES!$A$3:$B$70,2,FALSE))</f>
        <v/>
      </c>
      <c r="K1172" s="35" t="str">
        <f>IF(ISBLANK(A1172),"",VLOOKUP(J1172,RELACIONES!$B$3:$E$83,4,FALSE)*E1172)</f>
        <v/>
      </c>
    </row>
    <row r="1173" ht="15.75" customHeight="1">
      <c r="A1173" s="50"/>
      <c r="B1173" s="50"/>
      <c r="C1173" s="50"/>
      <c r="D1173" s="50"/>
      <c r="E1173" s="50"/>
      <c r="F1173" s="50"/>
      <c r="G1173" s="50"/>
      <c r="H1173" s="50"/>
      <c r="I1173" s="34" t="str">
        <f>IF(ISBLANK(A1173),"",VLOOKUP(A1173,RELACIONES!$G$3:$H$65,2,FALSE()))</f>
        <v/>
      </c>
      <c r="J1173" s="35" t="str">
        <f>IF(ISBLANK(A1173),"",VLOOKUP(C1173,RELACIONES!$A$3:$B$70,2,FALSE))</f>
        <v/>
      </c>
      <c r="K1173" s="35" t="str">
        <f>IF(ISBLANK(A1173),"",VLOOKUP(J1173,RELACIONES!$B$3:$E$83,4,FALSE)*E1173)</f>
        <v/>
      </c>
    </row>
    <row r="1174" ht="15.75" customHeight="1">
      <c r="A1174" s="50"/>
      <c r="B1174" s="50"/>
      <c r="C1174" s="50"/>
      <c r="D1174" s="50"/>
      <c r="E1174" s="50"/>
      <c r="F1174" s="50"/>
      <c r="G1174" s="50"/>
      <c r="H1174" s="50"/>
      <c r="I1174" s="34" t="str">
        <f>IF(ISBLANK(A1174),"",VLOOKUP(A1174,RELACIONES!$G$3:$H$65,2,FALSE()))</f>
        <v/>
      </c>
      <c r="J1174" s="35" t="str">
        <f>IF(ISBLANK(A1174),"",VLOOKUP(C1174,RELACIONES!$A$3:$B$70,2,FALSE))</f>
        <v/>
      </c>
      <c r="K1174" s="35" t="str">
        <f>IF(ISBLANK(A1174),"",VLOOKUP(J1174,RELACIONES!$B$3:$E$83,4,FALSE)*E1174)</f>
        <v/>
      </c>
    </row>
    <row r="1175" ht="15.75" customHeight="1">
      <c r="A1175" s="50"/>
      <c r="B1175" s="50"/>
      <c r="C1175" s="50"/>
      <c r="D1175" s="50"/>
      <c r="E1175" s="50"/>
      <c r="F1175" s="50"/>
      <c r="G1175" s="50"/>
      <c r="H1175" s="50"/>
      <c r="I1175" s="34" t="str">
        <f>IF(ISBLANK(A1175),"",VLOOKUP(A1175,RELACIONES!$G$3:$H$65,2,FALSE()))</f>
        <v/>
      </c>
      <c r="J1175" s="35" t="str">
        <f>IF(ISBLANK(A1175),"",VLOOKUP(C1175,RELACIONES!$A$3:$B$70,2,FALSE))</f>
        <v/>
      </c>
      <c r="K1175" s="35" t="str">
        <f>IF(ISBLANK(A1175),"",VLOOKUP(J1175,RELACIONES!$B$3:$E$83,4,FALSE)*E1175)</f>
        <v/>
      </c>
    </row>
    <row r="1176" ht="15.75" customHeight="1">
      <c r="A1176" s="50"/>
      <c r="B1176" s="50"/>
      <c r="C1176" s="50"/>
      <c r="D1176" s="50"/>
      <c r="E1176" s="50"/>
      <c r="F1176" s="50"/>
      <c r="G1176" s="50"/>
      <c r="H1176" s="50"/>
      <c r="I1176" s="34" t="str">
        <f>IF(ISBLANK(A1176),"",VLOOKUP(A1176,RELACIONES!$G$3:$H$65,2,FALSE()))</f>
        <v/>
      </c>
      <c r="J1176" s="35" t="str">
        <f>IF(ISBLANK(A1176),"",VLOOKUP(C1176,RELACIONES!$A$3:$B$70,2,FALSE))</f>
        <v/>
      </c>
      <c r="K1176" s="35" t="str">
        <f>IF(ISBLANK(A1176),"",VLOOKUP(J1176,RELACIONES!$B$3:$E$83,4,FALSE)*E1176)</f>
        <v/>
      </c>
    </row>
    <row r="1177" ht="15.75" customHeight="1">
      <c r="A1177" s="50"/>
      <c r="B1177" s="50"/>
      <c r="C1177" s="50"/>
      <c r="D1177" s="50"/>
      <c r="E1177" s="50"/>
      <c r="F1177" s="50"/>
      <c r="G1177" s="50"/>
      <c r="H1177" s="50"/>
      <c r="I1177" s="34" t="str">
        <f>IF(ISBLANK(A1177),"",VLOOKUP(A1177,RELACIONES!$G$3:$H$65,2,FALSE()))</f>
        <v/>
      </c>
      <c r="J1177" s="35" t="str">
        <f>IF(ISBLANK(A1177),"",VLOOKUP(C1177,RELACIONES!$A$3:$B$70,2,FALSE))</f>
        <v/>
      </c>
      <c r="K1177" s="35" t="str">
        <f>IF(ISBLANK(A1177),"",VLOOKUP(J1177,RELACIONES!$B$3:$E$83,4,FALSE)*E1177)</f>
        <v/>
      </c>
    </row>
    <row r="1178" ht="15.75" customHeight="1">
      <c r="A1178" s="50"/>
      <c r="B1178" s="50"/>
      <c r="C1178" s="50"/>
      <c r="D1178" s="50"/>
      <c r="E1178" s="50"/>
      <c r="F1178" s="50"/>
      <c r="G1178" s="50"/>
      <c r="H1178" s="50"/>
      <c r="I1178" s="34" t="str">
        <f>IF(ISBLANK(A1178),"",VLOOKUP(A1178,RELACIONES!$G$3:$H$65,2,FALSE()))</f>
        <v/>
      </c>
      <c r="J1178" s="35" t="str">
        <f>IF(ISBLANK(A1178),"",VLOOKUP(C1178,RELACIONES!$A$3:$B$70,2,FALSE))</f>
        <v/>
      </c>
      <c r="K1178" s="35" t="str">
        <f>IF(ISBLANK(A1178),"",VLOOKUP(J1178,RELACIONES!$B$3:$E$83,4,FALSE)*E1178)</f>
        <v/>
      </c>
    </row>
    <row r="1179" ht="15.75" customHeight="1">
      <c r="A1179" s="50"/>
      <c r="B1179" s="50"/>
      <c r="C1179" s="50"/>
      <c r="D1179" s="50"/>
      <c r="E1179" s="50"/>
      <c r="F1179" s="50"/>
      <c r="G1179" s="50"/>
      <c r="H1179" s="50"/>
      <c r="I1179" s="34" t="str">
        <f>IF(ISBLANK(A1179),"",VLOOKUP(A1179,RELACIONES!$G$3:$H$65,2,FALSE()))</f>
        <v/>
      </c>
      <c r="J1179" s="35" t="str">
        <f>IF(ISBLANK(A1179),"",VLOOKUP(C1179,RELACIONES!$A$3:$B$70,2,FALSE))</f>
        <v/>
      </c>
      <c r="K1179" s="35" t="str">
        <f>IF(ISBLANK(A1179),"",VLOOKUP(J1179,RELACIONES!$B$3:$E$83,4,FALSE)*E1179)</f>
        <v/>
      </c>
    </row>
    <row r="1180" ht="15.75" customHeight="1">
      <c r="A1180" s="50"/>
      <c r="B1180" s="50"/>
      <c r="C1180" s="50"/>
      <c r="D1180" s="50"/>
      <c r="E1180" s="50"/>
      <c r="F1180" s="50"/>
      <c r="G1180" s="50"/>
      <c r="H1180" s="50"/>
      <c r="I1180" s="34" t="str">
        <f>IF(ISBLANK(A1180),"",VLOOKUP(A1180,RELACIONES!$G$3:$H$65,2,FALSE()))</f>
        <v/>
      </c>
      <c r="J1180" s="35" t="str">
        <f>IF(ISBLANK(A1180),"",VLOOKUP(C1180,RELACIONES!$A$3:$B$70,2,FALSE))</f>
        <v/>
      </c>
      <c r="K1180" s="35" t="str">
        <f>IF(ISBLANK(A1180),"",VLOOKUP(J1180,RELACIONES!$B$3:$E$83,4,FALSE)*E1180)</f>
        <v/>
      </c>
    </row>
    <row r="1181" ht="15.75" customHeight="1">
      <c r="A1181" s="50"/>
      <c r="B1181" s="50"/>
      <c r="C1181" s="50"/>
      <c r="D1181" s="50"/>
      <c r="E1181" s="50"/>
      <c r="F1181" s="50"/>
      <c r="G1181" s="50"/>
      <c r="H1181" s="50"/>
      <c r="I1181" s="34" t="str">
        <f>IF(ISBLANK(A1181),"",VLOOKUP(A1181,RELACIONES!$G$3:$H$65,2,FALSE()))</f>
        <v/>
      </c>
      <c r="J1181" s="35" t="str">
        <f>IF(ISBLANK(A1181),"",VLOOKUP(C1181,RELACIONES!$A$3:$B$70,2,FALSE))</f>
        <v/>
      </c>
      <c r="K1181" s="35" t="str">
        <f>IF(ISBLANK(A1181),"",VLOOKUP(J1181,RELACIONES!$B$3:$E$83,4,FALSE)*E1181)</f>
        <v/>
      </c>
    </row>
    <row r="1182" ht="15.75" customHeight="1">
      <c r="A1182" s="50"/>
      <c r="B1182" s="50"/>
      <c r="C1182" s="50"/>
      <c r="D1182" s="50"/>
      <c r="E1182" s="50"/>
      <c r="F1182" s="50"/>
      <c r="G1182" s="50"/>
      <c r="H1182" s="50"/>
      <c r="I1182" s="34" t="str">
        <f>IF(ISBLANK(A1182),"",VLOOKUP(A1182,RELACIONES!$G$3:$H$65,2,FALSE()))</f>
        <v/>
      </c>
      <c r="J1182" s="35" t="str">
        <f>IF(ISBLANK(A1182),"",VLOOKUP(C1182,RELACIONES!$A$3:$B$70,2,FALSE))</f>
        <v/>
      </c>
      <c r="K1182" s="35" t="str">
        <f>IF(ISBLANK(A1182),"",VLOOKUP(J1182,RELACIONES!$B$3:$E$83,4,FALSE)*E1182)</f>
        <v/>
      </c>
    </row>
    <row r="1183" ht="15.75" customHeight="1">
      <c r="A1183" s="50"/>
      <c r="B1183" s="50"/>
      <c r="C1183" s="50"/>
      <c r="D1183" s="50"/>
      <c r="E1183" s="50"/>
      <c r="F1183" s="50"/>
      <c r="G1183" s="50"/>
      <c r="H1183" s="50"/>
      <c r="I1183" s="34" t="str">
        <f>IF(ISBLANK(A1183),"",VLOOKUP(A1183,RELACIONES!$G$3:$H$65,2,FALSE()))</f>
        <v/>
      </c>
      <c r="J1183" s="35" t="str">
        <f>IF(ISBLANK(A1183),"",VLOOKUP(C1183,RELACIONES!$A$3:$B$70,2,FALSE))</f>
        <v/>
      </c>
      <c r="K1183" s="35" t="str">
        <f>IF(ISBLANK(A1183),"",VLOOKUP(J1183,RELACIONES!$B$3:$E$83,4,FALSE)*E1183)</f>
        <v/>
      </c>
    </row>
    <row r="1184" ht="15.75" customHeight="1">
      <c r="A1184" s="50"/>
      <c r="B1184" s="50"/>
      <c r="C1184" s="50"/>
      <c r="D1184" s="50"/>
      <c r="E1184" s="50"/>
      <c r="F1184" s="50"/>
      <c r="G1184" s="50"/>
      <c r="H1184" s="50"/>
      <c r="I1184" s="34" t="str">
        <f>IF(ISBLANK(A1184),"",VLOOKUP(A1184,RELACIONES!$G$3:$H$65,2,FALSE()))</f>
        <v/>
      </c>
      <c r="J1184" s="35" t="str">
        <f>IF(ISBLANK(A1184),"",VLOOKUP(C1184,RELACIONES!$A$3:$B$70,2,FALSE))</f>
        <v/>
      </c>
      <c r="K1184" s="35" t="str">
        <f>IF(ISBLANK(A1184),"",VLOOKUP(J1184,RELACIONES!$B$3:$E$83,4,FALSE)*E1184)</f>
        <v/>
      </c>
    </row>
    <row r="1185" ht="15.75" customHeight="1">
      <c r="A1185" s="50"/>
      <c r="B1185" s="50"/>
      <c r="C1185" s="50"/>
      <c r="D1185" s="50"/>
      <c r="E1185" s="50"/>
      <c r="F1185" s="50"/>
      <c r="G1185" s="50"/>
      <c r="H1185" s="50"/>
      <c r="I1185" s="34" t="str">
        <f>IF(ISBLANK(A1185),"",VLOOKUP(A1185,RELACIONES!$G$3:$H$65,2,FALSE()))</f>
        <v/>
      </c>
      <c r="J1185" s="35" t="str">
        <f>IF(ISBLANK(A1185),"",VLOOKUP(C1185,RELACIONES!$A$3:$B$70,2,FALSE))</f>
        <v/>
      </c>
      <c r="K1185" s="35" t="str">
        <f>IF(ISBLANK(A1185),"",VLOOKUP(J1185,RELACIONES!$B$3:$E$83,4,FALSE)*E1185)</f>
        <v/>
      </c>
    </row>
    <row r="1186" ht="15.75" customHeight="1">
      <c r="A1186" s="50"/>
      <c r="B1186" s="50"/>
      <c r="C1186" s="50"/>
      <c r="D1186" s="50"/>
      <c r="E1186" s="50"/>
      <c r="F1186" s="50"/>
      <c r="G1186" s="50"/>
      <c r="H1186" s="50"/>
      <c r="I1186" s="34" t="str">
        <f>IF(ISBLANK(A1186),"",VLOOKUP(A1186,RELACIONES!$G$3:$H$65,2,FALSE()))</f>
        <v/>
      </c>
      <c r="J1186" s="35" t="str">
        <f>IF(ISBLANK(A1186),"",VLOOKUP(C1186,RELACIONES!$A$3:$B$70,2,FALSE))</f>
        <v/>
      </c>
      <c r="K1186" s="35" t="str">
        <f>IF(ISBLANK(A1186),"",VLOOKUP(J1186,RELACIONES!$B$3:$E$83,4,FALSE)*E1186)</f>
        <v/>
      </c>
    </row>
    <row r="1187" ht="15.75" customHeight="1">
      <c r="A1187" s="50"/>
      <c r="B1187" s="50"/>
      <c r="C1187" s="50"/>
      <c r="D1187" s="50"/>
      <c r="E1187" s="50"/>
      <c r="F1187" s="50"/>
      <c r="G1187" s="50"/>
      <c r="H1187" s="50"/>
      <c r="I1187" s="34" t="str">
        <f>IF(ISBLANK(A1187),"",VLOOKUP(A1187,RELACIONES!$G$3:$H$65,2,FALSE()))</f>
        <v/>
      </c>
      <c r="J1187" s="35" t="str">
        <f>IF(ISBLANK(A1187),"",VLOOKUP(C1187,RELACIONES!$A$3:$B$70,2,FALSE))</f>
        <v/>
      </c>
      <c r="K1187" s="35" t="str">
        <f>IF(ISBLANK(A1187),"",VLOOKUP(J1187,RELACIONES!$B$3:$E$83,4,FALSE)*E1187)</f>
        <v/>
      </c>
    </row>
    <row r="1188" ht="15.75" customHeight="1">
      <c r="A1188" s="50"/>
      <c r="B1188" s="50"/>
      <c r="C1188" s="50"/>
      <c r="D1188" s="50"/>
      <c r="E1188" s="50"/>
      <c r="F1188" s="50"/>
      <c r="G1188" s="50"/>
      <c r="H1188" s="50"/>
      <c r="I1188" s="34" t="str">
        <f>IF(ISBLANK(A1188),"",VLOOKUP(A1188,RELACIONES!$G$3:$H$65,2,FALSE()))</f>
        <v/>
      </c>
      <c r="J1188" s="35" t="str">
        <f>IF(ISBLANK(A1188),"",VLOOKUP(C1188,RELACIONES!$A$3:$B$70,2,FALSE))</f>
        <v/>
      </c>
      <c r="K1188" s="35" t="str">
        <f>IF(ISBLANK(A1188),"",VLOOKUP(J1188,RELACIONES!$B$3:$E$83,4,FALSE)*E1188)</f>
        <v/>
      </c>
    </row>
    <row r="1189" ht="15.75" customHeight="1">
      <c r="A1189" s="50"/>
      <c r="B1189" s="50"/>
      <c r="C1189" s="50"/>
      <c r="D1189" s="50"/>
      <c r="E1189" s="50"/>
      <c r="F1189" s="50"/>
      <c r="G1189" s="50"/>
      <c r="H1189" s="50"/>
      <c r="I1189" s="34" t="str">
        <f>IF(ISBLANK(A1189),"",VLOOKUP(A1189,RELACIONES!$G$3:$H$65,2,FALSE()))</f>
        <v/>
      </c>
      <c r="J1189" s="35" t="str">
        <f>IF(ISBLANK(A1189),"",VLOOKUP(C1189,RELACIONES!$A$3:$B$70,2,FALSE))</f>
        <v/>
      </c>
      <c r="K1189" s="35" t="str">
        <f>IF(ISBLANK(A1189),"",VLOOKUP(J1189,RELACIONES!$B$3:$E$83,4,FALSE)*E1189)</f>
        <v/>
      </c>
    </row>
    <row r="1190" ht="15.75" customHeight="1">
      <c r="A1190" s="50"/>
      <c r="B1190" s="50"/>
      <c r="C1190" s="50"/>
      <c r="D1190" s="50"/>
      <c r="E1190" s="50"/>
      <c r="F1190" s="50"/>
      <c r="G1190" s="50"/>
      <c r="H1190" s="50"/>
      <c r="I1190" s="34" t="str">
        <f>IF(ISBLANK(A1190),"",VLOOKUP(A1190,RELACIONES!$G$3:$H$65,2,FALSE()))</f>
        <v/>
      </c>
      <c r="J1190" s="35" t="str">
        <f>IF(ISBLANK(A1190),"",VLOOKUP(C1190,RELACIONES!$A$3:$B$70,2,FALSE))</f>
        <v/>
      </c>
      <c r="K1190" s="35" t="str">
        <f>IF(ISBLANK(A1190),"",VLOOKUP(J1190,RELACIONES!$B$3:$E$83,4,FALSE)*E1190)</f>
        <v/>
      </c>
    </row>
    <row r="1191" ht="15.75" customHeight="1">
      <c r="A1191" s="50"/>
      <c r="B1191" s="50"/>
      <c r="C1191" s="50"/>
      <c r="D1191" s="50"/>
      <c r="E1191" s="50"/>
      <c r="F1191" s="50"/>
      <c r="G1191" s="50"/>
      <c r="H1191" s="50"/>
      <c r="I1191" s="34" t="str">
        <f>IF(ISBLANK(A1191),"",VLOOKUP(A1191,RELACIONES!$G$3:$H$65,2,FALSE()))</f>
        <v/>
      </c>
      <c r="J1191" s="35" t="str">
        <f>IF(ISBLANK(A1191),"",VLOOKUP(C1191,RELACIONES!$A$3:$B$70,2,FALSE))</f>
        <v/>
      </c>
      <c r="K1191" s="35" t="str">
        <f>IF(ISBLANK(A1191),"",VLOOKUP(J1191,RELACIONES!$B$3:$E$83,4,FALSE)*E1191)</f>
        <v/>
      </c>
    </row>
    <row r="1192" ht="15.75" customHeight="1">
      <c r="A1192" s="50"/>
      <c r="B1192" s="50"/>
      <c r="C1192" s="50"/>
      <c r="D1192" s="50"/>
      <c r="E1192" s="50"/>
      <c r="F1192" s="50"/>
      <c r="G1192" s="50"/>
      <c r="H1192" s="50"/>
      <c r="I1192" s="34" t="str">
        <f>IF(ISBLANK(A1192),"",VLOOKUP(A1192,RELACIONES!$G$3:$H$65,2,FALSE()))</f>
        <v/>
      </c>
      <c r="J1192" s="35" t="str">
        <f>IF(ISBLANK(A1192),"",VLOOKUP(C1192,RELACIONES!$A$3:$B$70,2,FALSE))</f>
        <v/>
      </c>
      <c r="K1192" s="35" t="str">
        <f>IF(ISBLANK(A1192),"",VLOOKUP(J1192,RELACIONES!$B$3:$E$83,4,FALSE)*E1192)</f>
        <v/>
      </c>
    </row>
    <row r="1193" ht="15.75" customHeight="1">
      <c r="A1193" s="50"/>
      <c r="B1193" s="50"/>
      <c r="C1193" s="50"/>
      <c r="D1193" s="50"/>
      <c r="E1193" s="50"/>
      <c r="F1193" s="50"/>
      <c r="G1193" s="50"/>
      <c r="H1193" s="50"/>
      <c r="I1193" s="34" t="str">
        <f>IF(ISBLANK(A1193),"",VLOOKUP(A1193,RELACIONES!$G$3:$H$65,2,FALSE()))</f>
        <v/>
      </c>
      <c r="J1193" s="35" t="str">
        <f>IF(ISBLANK(A1193),"",VLOOKUP(C1193,RELACIONES!$A$3:$B$70,2,FALSE))</f>
        <v/>
      </c>
      <c r="K1193" s="35" t="str">
        <f>IF(ISBLANK(A1193),"",VLOOKUP(J1193,RELACIONES!$B$3:$E$83,4,FALSE)*E1193)</f>
        <v/>
      </c>
    </row>
    <row r="1194" ht="15.75" customHeight="1">
      <c r="A1194" s="50"/>
      <c r="B1194" s="50"/>
      <c r="C1194" s="50"/>
      <c r="D1194" s="50"/>
      <c r="E1194" s="50"/>
      <c r="F1194" s="50"/>
      <c r="G1194" s="50"/>
      <c r="H1194" s="50"/>
      <c r="I1194" s="34" t="str">
        <f>IF(ISBLANK(A1194),"",VLOOKUP(A1194,RELACIONES!$G$3:$H$65,2,FALSE()))</f>
        <v/>
      </c>
      <c r="J1194" s="35" t="str">
        <f>IF(ISBLANK(A1194),"",VLOOKUP(C1194,RELACIONES!$A$3:$B$70,2,FALSE))</f>
        <v/>
      </c>
      <c r="K1194" s="35" t="str">
        <f>IF(ISBLANK(A1194),"",VLOOKUP(J1194,RELACIONES!$B$3:$E$83,4,FALSE)*E1194)</f>
        <v/>
      </c>
    </row>
    <row r="1195" ht="15.75" customHeight="1">
      <c r="A1195" s="50"/>
      <c r="B1195" s="50"/>
      <c r="C1195" s="50"/>
      <c r="D1195" s="50"/>
      <c r="E1195" s="50"/>
      <c r="F1195" s="50"/>
      <c r="G1195" s="50"/>
      <c r="H1195" s="50"/>
      <c r="I1195" s="34" t="str">
        <f>IF(ISBLANK(A1195),"",VLOOKUP(A1195,RELACIONES!$G$3:$H$65,2,FALSE()))</f>
        <v/>
      </c>
      <c r="J1195" s="35" t="str">
        <f>IF(ISBLANK(A1195),"",VLOOKUP(C1195,RELACIONES!$A$3:$B$70,2,FALSE))</f>
        <v/>
      </c>
      <c r="K1195" s="35" t="str">
        <f>IF(ISBLANK(A1195),"",VLOOKUP(J1195,RELACIONES!$B$3:$E$83,4,FALSE)*E1195)</f>
        <v/>
      </c>
    </row>
    <row r="1196" ht="15.75" customHeight="1">
      <c r="A1196" s="50"/>
      <c r="B1196" s="50"/>
      <c r="C1196" s="50"/>
      <c r="D1196" s="50"/>
      <c r="E1196" s="50"/>
      <c r="F1196" s="50"/>
      <c r="G1196" s="50"/>
      <c r="H1196" s="50"/>
      <c r="I1196" s="34" t="str">
        <f>IF(ISBLANK(A1196),"",VLOOKUP(A1196,RELACIONES!$G$3:$H$65,2,FALSE()))</f>
        <v/>
      </c>
      <c r="J1196" s="35" t="str">
        <f>IF(ISBLANK(A1196),"",VLOOKUP(C1196,RELACIONES!$A$3:$B$70,2,FALSE))</f>
        <v/>
      </c>
      <c r="K1196" s="35" t="str">
        <f>IF(ISBLANK(A1196),"",VLOOKUP(J1196,RELACIONES!$B$3:$E$83,4,FALSE)*E1196)</f>
        <v/>
      </c>
    </row>
    <row r="1197" ht="15.75" customHeight="1">
      <c r="A1197" s="50"/>
      <c r="B1197" s="50"/>
      <c r="C1197" s="50"/>
      <c r="D1197" s="50"/>
      <c r="E1197" s="50"/>
      <c r="F1197" s="50"/>
      <c r="G1197" s="50"/>
      <c r="H1197" s="50"/>
      <c r="I1197" s="34" t="str">
        <f>IF(ISBLANK(A1197),"",VLOOKUP(A1197,RELACIONES!$G$3:$H$65,2,FALSE()))</f>
        <v/>
      </c>
      <c r="J1197" s="35" t="str">
        <f>IF(ISBLANK(A1197),"",VLOOKUP(C1197,RELACIONES!$A$3:$B$70,2,FALSE))</f>
        <v/>
      </c>
      <c r="K1197" s="35" t="str">
        <f>IF(ISBLANK(A1197),"",VLOOKUP(J1197,RELACIONES!$B$3:$E$83,4,FALSE)*E1197)</f>
        <v/>
      </c>
    </row>
    <row r="1198" ht="15.75" customHeight="1">
      <c r="A1198" s="50"/>
      <c r="B1198" s="50"/>
      <c r="C1198" s="50"/>
      <c r="D1198" s="50"/>
      <c r="E1198" s="50"/>
      <c r="F1198" s="50"/>
      <c r="G1198" s="50"/>
      <c r="H1198" s="50"/>
      <c r="I1198" s="34" t="str">
        <f>IF(ISBLANK(A1198),"",VLOOKUP(A1198,RELACIONES!$G$3:$H$65,2,FALSE()))</f>
        <v/>
      </c>
      <c r="J1198" s="35" t="str">
        <f>IF(ISBLANK(A1198),"",VLOOKUP(C1198,RELACIONES!$A$3:$B$70,2,FALSE))</f>
        <v/>
      </c>
      <c r="K1198" s="35" t="str">
        <f>IF(ISBLANK(A1198),"",VLOOKUP(J1198,RELACIONES!$B$3:$E$83,4,FALSE)*E1198)</f>
        <v/>
      </c>
    </row>
    <row r="1199" ht="15.75" customHeight="1">
      <c r="A1199" s="50"/>
      <c r="B1199" s="50"/>
      <c r="C1199" s="50"/>
      <c r="D1199" s="50"/>
      <c r="E1199" s="50"/>
      <c r="F1199" s="50"/>
      <c r="G1199" s="50"/>
      <c r="H1199" s="50"/>
      <c r="I1199" s="34" t="str">
        <f>IF(ISBLANK(A1199),"",VLOOKUP(A1199,RELACIONES!$G$3:$H$65,2,FALSE()))</f>
        <v/>
      </c>
      <c r="J1199" s="35" t="str">
        <f>IF(ISBLANK(A1199),"",VLOOKUP(C1199,RELACIONES!$A$3:$B$70,2,FALSE))</f>
        <v/>
      </c>
      <c r="K1199" s="35" t="str">
        <f>IF(ISBLANK(A1199),"",VLOOKUP(J1199,RELACIONES!$B$3:$E$83,4,FALSE)*E1199)</f>
        <v/>
      </c>
    </row>
    <row r="1200" ht="15.75" customHeight="1">
      <c r="A1200" s="50"/>
      <c r="B1200" s="50"/>
      <c r="C1200" s="50"/>
      <c r="D1200" s="50"/>
      <c r="E1200" s="50"/>
      <c r="F1200" s="50"/>
      <c r="G1200" s="50"/>
      <c r="H1200" s="50"/>
      <c r="I1200" s="34" t="str">
        <f>IF(ISBLANK(A1200),"",VLOOKUP(A1200,RELACIONES!$G$3:$H$65,2,FALSE()))</f>
        <v/>
      </c>
      <c r="J1200" s="35" t="str">
        <f>IF(ISBLANK(A1200),"",VLOOKUP(C1200,RELACIONES!$A$3:$B$70,2,FALSE))</f>
        <v/>
      </c>
      <c r="K1200" s="35" t="str">
        <f>IF(ISBLANK(A1200),"",VLOOKUP(J1200,RELACIONES!$B$3:$E$83,4,FALSE)*E1200)</f>
        <v/>
      </c>
    </row>
    <row r="1201" ht="15.75" customHeight="1">
      <c r="A1201" s="50"/>
      <c r="B1201" s="50"/>
      <c r="C1201" s="50"/>
      <c r="D1201" s="50"/>
      <c r="E1201" s="50"/>
      <c r="F1201" s="50"/>
      <c r="G1201" s="50"/>
      <c r="H1201" s="50"/>
      <c r="I1201" s="34" t="str">
        <f>IF(ISBLANK(A1201),"",VLOOKUP(A1201,RELACIONES!$G$3:$H$65,2,FALSE()))</f>
        <v/>
      </c>
      <c r="J1201" s="35" t="str">
        <f>IF(ISBLANK(A1201),"",VLOOKUP(C1201,RELACIONES!$A$3:$B$70,2,FALSE))</f>
        <v/>
      </c>
      <c r="K1201" s="35" t="str">
        <f>IF(ISBLANK(A1201),"",VLOOKUP(J1201,RELACIONES!$B$3:$E$83,4,FALSE)*E1201)</f>
        <v/>
      </c>
    </row>
    <row r="1202" ht="15.75" customHeight="1">
      <c r="A1202" s="50"/>
      <c r="B1202" s="50"/>
      <c r="C1202" s="50"/>
      <c r="D1202" s="50"/>
      <c r="E1202" s="50"/>
      <c r="F1202" s="50"/>
      <c r="G1202" s="50"/>
      <c r="H1202" s="50"/>
      <c r="I1202" s="34" t="str">
        <f>IF(ISBLANK(A1202),"",VLOOKUP(A1202,RELACIONES!$G$3:$H$65,2,FALSE()))</f>
        <v/>
      </c>
      <c r="J1202" s="35" t="str">
        <f>IF(ISBLANK(A1202),"",VLOOKUP(C1202,RELACIONES!$A$3:$B$70,2,FALSE))</f>
        <v/>
      </c>
      <c r="K1202" s="35" t="str">
        <f>IF(ISBLANK(A1202),"",VLOOKUP(J1202,RELACIONES!$B$3:$E$83,4,FALSE)*E1202)</f>
        <v/>
      </c>
    </row>
    <row r="1203" ht="15.75" customHeight="1">
      <c r="A1203" s="50"/>
      <c r="B1203" s="50"/>
      <c r="C1203" s="50"/>
      <c r="D1203" s="50"/>
      <c r="E1203" s="50"/>
      <c r="F1203" s="50"/>
      <c r="G1203" s="50"/>
      <c r="H1203" s="50"/>
      <c r="I1203" s="34" t="str">
        <f>IF(ISBLANK(A1203),"",VLOOKUP(A1203,RELACIONES!$G$3:$H$65,2,FALSE()))</f>
        <v/>
      </c>
      <c r="J1203" s="35" t="str">
        <f>IF(ISBLANK(A1203),"",VLOOKUP(C1203,RELACIONES!$A$3:$B$70,2,FALSE))</f>
        <v/>
      </c>
      <c r="K1203" s="35" t="str">
        <f>IF(ISBLANK(A1203),"",VLOOKUP(J1203,RELACIONES!$B$3:$E$83,4,FALSE)*E1203)</f>
        <v/>
      </c>
    </row>
    <row r="1204" ht="15.75" customHeight="1">
      <c r="A1204" s="50"/>
      <c r="B1204" s="50"/>
      <c r="C1204" s="50"/>
      <c r="D1204" s="50"/>
      <c r="E1204" s="50"/>
      <c r="F1204" s="50"/>
      <c r="G1204" s="50"/>
      <c r="H1204" s="50"/>
      <c r="I1204" s="34" t="str">
        <f>IF(ISBLANK(A1204),"",VLOOKUP(A1204,RELACIONES!$G$3:$H$65,2,FALSE()))</f>
        <v/>
      </c>
      <c r="J1204" s="35" t="str">
        <f>IF(ISBLANK(A1204),"",VLOOKUP(C1204,RELACIONES!$A$3:$B$70,2,FALSE))</f>
        <v/>
      </c>
      <c r="K1204" s="35" t="str">
        <f>IF(ISBLANK(A1204),"",VLOOKUP(J1204,RELACIONES!$B$3:$E$83,4,FALSE)*E1204)</f>
        <v/>
      </c>
    </row>
    <row r="1205" ht="15.75" customHeight="1">
      <c r="A1205" s="50"/>
      <c r="B1205" s="50"/>
      <c r="C1205" s="50"/>
      <c r="D1205" s="50"/>
      <c r="E1205" s="50"/>
      <c r="F1205" s="50"/>
      <c r="G1205" s="50"/>
      <c r="H1205" s="50"/>
      <c r="I1205" s="34" t="str">
        <f>IF(ISBLANK(A1205),"",VLOOKUP(A1205,RELACIONES!$G$3:$H$65,2,FALSE()))</f>
        <v/>
      </c>
      <c r="J1205" s="35" t="str">
        <f>IF(ISBLANK(A1205),"",VLOOKUP(C1205,RELACIONES!$A$3:$B$70,2,FALSE))</f>
        <v/>
      </c>
      <c r="K1205" s="35" t="str">
        <f>IF(ISBLANK(A1205),"",VLOOKUP(J1205,RELACIONES!$B$3:$E$83,4,FALSE)*E1205)</f>
        <v/>
      </c>
    </row>
    <row r="1206" ht="15.75" customHeight="1">
      <c r="A1206" s="50"/>
      <c r="B1206" s="50"/>
      <c r="C1206" s="50"/>
      <c r="D1206" s="50"/>
      <c r="E1206" s="50"/>
      <c r="F1206" s="50"/>
      <c r="G1206" s="50"/>
      <c r="H1206" s="50"/>
      <c r="I1206" s="34" t="str">
        <f>IF(ISBLANK(A1206),"",VLOOKUP(A1206,RELACIONES!$G$3:$H$65,2,FALSE()))</f>
        <v/>
      </c>
      <c r="J1206" s="35" t="str">
        <f>IF(ISBLANK(A1206),"",VLOOKUP(C1206,RELACIONES!$A$3:$B$70,2,FALSE))</f>
        <v/>
      </c>
      <c r="K1206" s="35" t="str">
        <f>IF(ISBLANK(A1206),"",VLOOKUP(J1206,RELACIONES!$B$3:$E$83,4,FALSE)*E1206)</f>
        <v/>
      </c>
    </row>
    <row r="1207" ht="15.75" customHeight="1">
      <c r="A1207" s="50"/>
      <c r="B1207" s="50"/>
      <c r="C1207" s="50"/>
      <c r="D1207" s="50"/>
      <c r="E1207" s="50"/>
      <c r="F1207" s="50"/>
      <c r="G1207" s="50"/>
      <c r="H1207" s="50"/>
      <c r="I1207" s="34" t="str">
        <f>IF(ISBLANK(A1207),"",VLOOKUP(A1207,RELACIONES!$G$3:$H$65,2,FALSE()))</f>
        <v/>
      </c>
      <c r="J1207" s="35" t="str">
        <f>IF(ISBLANK(A1207),"",VLOOKUP(C1207,RELACIONES!$A$3:$B$70,2,FALSE))</f>
        <v/>
      </c>
      <c r="K1207" s="35" t="str">
        <f>IF(ISBLANK(A1207),"",VLOOKUP(J1207,RELACIONES!$B$3:$E$83,4,FALSE)*E1207)</f>
        <v/>
      </c>
    </row>
    <row r="1208" ht="15.75" customHeight="1">
      <c r="A1208" s="50"/>
      <c r="B1208" s="50"/>
      <c r="C1208" s="50"/>
      <c r="D1208" s="50"/>
      <c r="E1208" s="50"/>
      <c r="F1208" s="50"/>
      <c r="G1208" s="50"/>
      <c r="H1208" s="50"/>
      <c r="I1208" s="34" t="str">
        <f>IF(ISBLANK(A1208),"",VLOOKUP(A1208,RELACIONES!$G$3:$H$65,2,FALSE()))</f>
        <v/>
      </c>
      <c r="J1208" s="35" t="str">
        <f>IF(ISBLANK(A1208),"",VLOOKUP(C1208,RELACIONES!$A$3:$B$70,2,FALSE))</f>
        <v/>
      </c>
      <c r="K1208" s="35" t="str">
        <f>IF(ISBLANK(A1208),"",VLOOKUP(J1208,RELACIONES!$B$3:$E$83,4,FALSE)*E1208)</f>
        <v/>
      </c>
    </row>
    <row r="1209" ht="15.75" customHeight="1">
      <c r="A1209" s="50"/>
      <c r="B1209" s="50"/>
      <c r="C1209" s="50"/>
      <c r="D1209" s="50"/>
      <c r="E1209" s="50"/>
      <c r="F1209" s="50"/>
      <c r="G1209" s="50"/>
      <c r="H1209" s="50"/>
      <c r="I1209" s="34" t="str">
        <f>IF(ISBLANK(A1209),"",VLOOKUP(A1209,RELACIONES!$G$3:$H$65,2,FALSE()))</f>
        <v/>
      </c>
      <c r="J1209" s="35" t="str">
        <f>IF(ISBLANK(A1209),"",VLOOKUP(C1209,RELACIONES!$A$3:$B$70,2,FALSE))</f>
        <v/>
      </c>
      <c r="K1209" s="35" t="str">
        <f>IF(ISBLANK(A1209),"",VLOOKUP(J1209,RELACIONES!$B$3:$E$83,4,FALSE)*E1209)</f>
        <v/>
      </c>
    </row>
    <row r="1210" ht="15.75" customHeight="1">
      <c r="A1210" s="50"/>
      <c r="B1210" s="50"/>
      <c r="C1210" s="50"/>
      <c r="D1210" s="50"/>
      <c r="E1210" s="50"/>
      <c r="F1210" s="50"/>
      <c r="G1210" s="50"/>
      <c r="H1210" s="50"/>
      <c r="I1210" s="34" t="str">
        <f>IF(ISBLANK(A1210),"",VLOOKUP(A1210,RELACIONES!$G$3:$H$65,2,FALSE()))</f>
        <v/>
      </c>
      <c r="J1210" s="35" t="str">
        <f>IF(ISBLANK(A1210),"",VLOOKUP(C1210,RELACIONES!$A$3:$B$70,2,FALSE))</f>
        <v/>
      </c>
      <c r="K1210" s="35" t="str">
        <f>IF(ISBLANK(A1210),"",VLOOKUP(J1210,RELACIONES!$B$3:$E$83,4,FALSE)*E1210)</f>
        <v/>
      </c>
    </row>
    <row r="1211" ht="15.75" customHeight="1">
      <c r="A1211" s="50"/>
      <c r="B1211" s="50"/>
      <c r="C1211" s="50"/>
      <c r="D1211" s="50"/>
      <c r="E1211" s="50"/>
      <c r="F1211" s="50"/>
      <c r="G1211" s="50"/>
      <c r="H1211" s="50"/>
      <c r="I1211" s="34" t="str">
        <f>IF(ISBLANK(A1211),"",VLOOKUP(A1211,RELACIONES!$G$3:$H$65,2,FALSE()))</f>
        <v/>
      </c>
      <c r="J1211" s="35" t="str">
        <f>IF(ISBLANK(A1211),"",VLOOKUP(C1211,RELACIONES!$A$3:$B$70,2,FALSE))</f>
        <v/>
      </c>
      <c r="K1211" s="35" t="str">
        <f>IF(ISBLANK(A1211),"",VLOOKUP(J1211,RELACIONES!$B$3:$E$83,4,FALSE)*E1211)</f>
        <v/>
      </c>
    </row>
    <row r="1212" ht="15.75" customHeight="1">
      <c r="A1212" s="50"/>
      <c r="B1212" s="50"/>
      <c r="C1212" s="50"/>
      <c r="D1212" s="50"/>
      <c r="E1212" s="50"/>
      <c r="F1212" s="50"/>
      <c r="G1212" s="50"/>
      <c r="H1212" s="50"/>
      <c r="I1212" s="34" t="str">
        <f>IF(ISBLANK(A1212),"",VLOOKUP(A1212,RELACIONES!$G$3:$H$65,2,FALSE()))</f>
        <v/>
      </c>
      <c r="J1212" s="35" t="str">
        <f>IF(ISBLANK(A1212),"",VLOOKUP(C1212,RELACIONES!$A$3:$B$70,2,FALSE))</f>
        <v/>
      </c>
      <c r="K1212" s="35" t="str">
        <f>IF(ISBLANK(A1212),"",VLOOKUP(J1212,RELACIONES!$B$3:$E$83,4,FALSE)*E1212)</f>
        <v/>
      </c>
    </row>
    <row r="1213" ht="15.75" customHeight="1">
      <c r="A1213" s="50"/>
      <c r="B1213" s="50"/>
      <c r="C1213" s="50"/>
      <c r="D1213" s="50"/>
      <c r="E1213" s="50"/>
      <c r="F1213" s="50"/>
      <c r="G1213" s="50"/>
      <c r="H1213" s="50"/>
      <c r="I1213" s="34" t="str">
        <f>IF(ISBLANK(A1213),"",VLOOKUP(A1213,RELACIONES!$G$3:$H$65,2,FALSE()))</f>
        <v/>
      </c>
      <c r="J1213" s="35" t="str">
        <f>IF(ISBLANK(A1213),"",VLOOKUP(C1213,RELACIONES!$A$3:$B$70,2,FALSE))</f>
        <v/>
      </c>
      <c r="K1213" s="35" t="str">
        <f>IF(ISBLANK(A1213),"",VLOOKUP(J1213,RELACIONES!$B$3:$E$83,4,FALSE)*E1213)</f>
        <v/>
      </c>
    </row>
    <row r="1214" ht="15.75" customHeight="1">
      <c r="A1214" s="50"/>
      <c r="B1214" s="50"/>
      <c r="C1214" s="50"/>
      <c r="D1214" s="50"/>
      <c r="E1214" s="50"/>
      <c r="F1214" s="50"/>
      <c r="G1214" s="50"/>
      <c r="H1214" s="50"/>
      <c r="I1214" s="34" t="str">
        <f>IF(ISBLANK(A1214),"",VLOOKUP(A1214,RELACIONES!$G$3:$H$65,2,FALSE()))</f>
        <v/>
      </c>
      <c r="J1214" s="35" t="str">
        <f>IF(ISBLANK(A1214),"",VLOOKUP(C1214,RELACIONES!$A$3:$B$70,2,FALSE))</f>
        <v/>
      </c>
      <c r="K1214" s="35" t="str">
        <f>IF(ISBLANK(A1214),"",VLOOKUP(J1214,RELACIONES!$B$3:$E$83,4,FALSE)*E1214)</f>
        <v/>
      </c>
    </row>
    <row r="1215" ht="15.75" customHeight="1">
      <c r="A1215" s="50"/>
      <c r="B1215" s="50"/>
      <c r="C1215" s="50"/>
      <c r="D1215" s="50"/>
      <c r="E1215" s="50"/>
      <c r="F1215" s="50"/>
      <c r="G1215" s="50"/>
      <c r="H1215" s="50"/>
      <c r="I1215" s="34" t="str">
        <f>IF(ISBLANK(A1215),"",VLOOKUP(A1215,RELACIONES!$G$3:$H$65,2,FALSE()))</f>
        <v/>
      </c>
      <c r="J1215" s="35" t="str">
        <f>IF(ISBLANK(A1215),"",VLOOKUP(C1215,RELACIONES!$A$3:$B$70,2,FALSE))</f>
        <v/>
      </c>
      <c r="K1215" s="35" t="str">
        <f>IF(ISBLANK(A1215),"",VLOOKUP(J1215,RELACIONES!$B$3:$E$83,4,FALSE)*E1215)</f>
        <v/>
      </c>
    </row>
    <row r="1216" ht="15.75" customHeight="1">
      <c r="A1216" s="50"/>
      <c r="B1216" s="50"/>
      <c r="C1216" s="50"/>
      <c r="D1216" s="50"/>
      <c r="E1216" s="50"/>
      <c r="F1216" s="50"/>
      <c r="G1216" s="50"/>
      <c r="H1216" s="50"/>
      <c r="I1216" s="34" t="str">
        <f>IF(ISBLANK(A1216),"",VLOOKUP(A1216,RELACIONES!$G$3:$H$65,2,FALSE()))</f>
        <v/>
      </c>
      <c r="J1216" s="35" t="str">
        <f>IF(ISBLANK(A1216),"",VLOOKUP(C1216,RELACIONES!$A$3:$B$70,2,FALSE))</f>
        <v/>
      </c>
      <c r="K1216" s="35" t="str">
        <f>IF(ISBLANK(A1216),"",VLOOKUP(J1216,RELACIONES!$B$3:$E$83,4,FALSE)*E1216)</f>
        <v/>
      </c>
    </row>
    <row r="1217" ht="15.75" customHeight="1">
      <c r="A1217" s="50"/>
      <c r="B1217" s="50"/>
      <c r="C1217" s="50"/>
      <c r="D1217" s="50"/>
      <c r="E1217" s="50"/>
      <c r="F1217" s="50"/>
      <c r="G1217" s="50"/>
      <c r="H1217" s="50"/>
      <c r="I1217" s="34" t="str">
        <f>IF(ISBLANK(A1217),"",VLOOKUP(A1217,RELACIONES!$G$3:$H$65,2,FALSE()))</f>
        <v/>
      </c>
      <c r="J1217" s="35" t="str">
        <f>IF(ISBLANK(A1217),"",VLOOKUP(C1217,RELACIONES!$A$3:$B$70,2,FALSE))</f>
        <v/>
      </c>
      <c r="K1217" s="35" t="str">
        <f>IF(ISBLANK(A1217),"",VLOOKUP(J1217,RELACIONES!$B$3:$E$83,4,FALSE)*E1217)</f>
        <v/>
      </c>
    </row>
    <row r="1218" ht="15.75" customHeight="1">
      <c r="A1218" s="50"/>
      <c r="B1218" s="50"/>
      <c r="C1218" s="50"/>
      <c r="D1218" s="50"/>
      <c r="E1218" s="50"/>
      <c r="F1218" s="50"/>
      <c r="G1218" s="50"/>
      <c r="H1218" s="50"/>
      <c r="I1218" s="34" t="str">
        <f>IF(ISBLANK(A1218),"",VLOOKUP(A1218,RELACIONES!$G$3:$H$65,2,FALSE()))</f>
        <v/>
      </c>
      <c r="J1218" s="35" t="str">
        <f>IF(ISBLANK(A1218),"",VLOOKUP(C1218,RELACIONES!$A$3:$B$70,2,FALSE))</f>
        <v/>
      </c>
      <c r="K1218" s="35" t="str">
        <f>IF(ISBLANK(A1218),"",VLOOKUP(J1218,RELACIONES!$B$3:$E$83,4,FALSE)*E1218)</f>
        <v/>
      </c>
    </row>
    <row r="1219" ht="15.75" customHeight="1">
      <c r="A1219" s="50"/>
      <c r="B1219" s="50"/>
      <c r="C1219" s="50"/>
      <c r="D1219" s="50"/>
      <c r="E1219" s="50"/>
      <c r="F1219" s="50"/>
      <c r="G1219" s="50"/>
      <c r="H1219" s="50"/>
      <c r="I1219" s="34" t="str">
        <f>IF(ISBLANK(A1219),"",VLOOKUP(A1219,RELACIONES!$G$3:$H$65,2,FALSE()))</f>
        <v/>
      </c>
      <c r="J1219" s="35" t="str">
        <f>IF(ISBLANK(A1219),"",VLOOKUP(C1219,RELACIONES!$A$3:$B$70,2,FALSE))</f>
        <v/>
      </c>
      <c r="K1219" s="35" t="str">
        <f>IF(ISBLANK(A1219),"",VLOOKUP(J1219,RELACIONES!$B$3:$E$83,4,FALSE)*E1219)</f>
        <v/>
      </c>
    </row>
    <row r="1220" ht="15.75" customHeight="1">
      <c r="A1220" s="50"/>
      <c r="B1220" s="50"/>
      <c r="C1220" s="50"/>
      <c r="D1220" s="50"/>
      <c r="E1220" s="50"/>
      <c r="F1220" s="50"/>
      <c r="G1220" s="50"/>
      <c r="H1220" s="50"/>
      <c r="I1220" s="34" t="str">
        <f>IF(ISBLANK(A1220),"",VLOOKUP(A1220,RELACIONES!$G$3:$H$65,2,FALSE()))</f>
        <v/>
      </c>
      <c r="J1220" s="35" t="str">
        <f>IF(ISBLANK(A1220),"",VLOOKUP(C1220,RELACIONES!$A$3:$B$70,2,FALSE))</f>
        <v/>
      </c>
      <c r="K1220" s="35" t="str">
        <f>IF(ISBLANK(A1220),"",VLOOKUP(J1220,RELACIONES!$B$3:$E$83,4,FALSE)*E1220)</f>
        <v/>
      </c>
    </row>
    <row r="1221" ht="15.75" customHeight="1">
      <c r="A1221" s="50"/>
      <c r="B1221" s="50"/>
      <c r="C1221" s="50"/>
      <c r="D1221" s="50"/>
      <c r="E1221" s="50"/>
      <c r="F1221" s="50"/>
      <c r="G1221" s="50"/>
      <c r="H1221" s="50"/>
      <c r="I1221" s="34" t="str">
        <f>IF(ISBLANK(A1221),"",VLOOKUP(A1221,RELACIONES!$G$3:$H$65,2,FALSE()))</f>
        <v/>
      </c>
      <c r="J1221" s="35" t="str">
        <f>IF(ISBLANK(A1221),"",VLOOKUP(C1221,RELACIONES!$A$3:$B$70,2,FALSE))</f>
        <v/>
      </c>
      <c r="K1221" s="35" t="str">
        <f>IF(ISBLANK(A1221),"",VLOOKUP(J1221,RELACIONES!$B$3:$E$83,4,FALSE)*E1221)</f>
        <v/>
      </c>
    </row>
    <row r="1222" ht="15.75" customHeight="1">
      <c r="A1222" s="50"/>
      <c r="B1222" s="50"/>
      <c r="C1222" s="50"/>
      <c r="D1222" s="50"/>
      <c r="E1222" s="50"/>
      <c r="F1222" s="50"/>
      <c r="G1222" s="50"/>
      <c r="H1222" s="50"/>
      <c r="I1222" s="34" t="str">
        <f>IF(ISBLANK(A1222),"",VLOOKUP(A1222,RELACIONES!$G$3:$H$65,2,FALSE()))</f>
        <v/>
      </c>
      <c r="J1222" s="35" t="str">
        <f>IF(ISBLANK(A1222),"",VLOOKUP(C1222,RELACIONES!$A$3:$B$70,2,FALSE))</f>
        <v/>
      </c>
      <c r="K1222" s="35" t="str">
        <f>IF(ISBLANK(A1222),"",VLOOKUP(J1222,RELACIONES!$B$3:$E$83,4,FALSE)*E1222)</f>
        <v/>
      </c>
    </row>
    <row r="1223" ht="15.75" customHeight="1">
      <c r="A1223" s="50"/>
      <c r="B1223" s="50"/>
      <c r="C1223" s="50"/>
      <c r="D1223" s="50"/>
      <c r="E1223" s="50"/>
      <c r="F1223" s="50"/>
      <c r="G1223" s="50"/>
      <c r="H1223" s="50"/>
      <c r="I1223" s="34" t="str">
        <f>IF(ISBLANK(A1223),"",VLOOKUP(A1223,RELACIONES!$G$3:$H$65,2,FALSE()))</f>
        <v/>
      </c>
      <c r="J1223" s="35" t="str">
        <f>IF(ISBLANK(A1223),"",VLOOKUP(C1223,RELACIONES!$A$3:$B$70,2,FALSE))</f>
        <v/>
      </c>
      <c r="K1223" s="35" t="str">
        <f>IF(ISBLANK(A1223),"",VLOOKUP(J1223,RELACIONES!$B$3:$E$83,4,FALSE)*E1223)</f>
        <v/>
      </c>
    </row>
    <row r="1224" ht="15.75" customHeight="1">
      <c r="A1224" s="50"/>
      <c r="B1224" s="50"/>
      <c r="C1224" s="50"/>
      <c r="D1224" s="50"/>
      <c r="E1224" s="50"/>
      <c r="F1224" s="50"/>
      <c r="G1224" s="50"/>
      <c r="H1224" s="50"/>
      <c r="I1224" s="34" t="str">
        <f>IF(ISBLANK(A1224),"",VLOOKUP(A1224,RELACIONES!$G$3:$H$65,2,FALSE()))</f>
        <v/>
      </c>
      <c r="J1224" s="35" t="str">
        <f>IF(ISBLANK(A1224),"",VLOOKUP(C1224,RELACIONES!$A$3:$B$70,2,FALSE))</f>
        <v/>
      </c>
      <c r="K1224" s="35" t="str">
        <f>IF(ISBLANK(A1224),"",VLOOKUP(J1224,RELACIONES!$B$3:$E$83,4,FALSE)*E1224)</f>
        <v/>
      </c>
    </row>
    <row r="1225" ht="15.75" customHeight="1">
      <c r="A1225" s="50"/>
      <c r="B1225" s="50"/>
      <c r="C1225" s="50"/>
      <c r="D1225" s="50"/>
      <c r="E1225" s="50"/>
      <c r="F1225" s="50"/>
      <c r="G1225" s="50"/>
      <c r="H1225" s="50"/>
      <c r="I1225" s="34" t="str">
        <f>IF(ISBLANK(A1225),"",VLOOKUP(A1225,RELACIONES!$G$3:$H$65,2,FALSE()))</f>
        <v/>
      </c>
      <c r="J1225" s="35" t="str">
        <f>IF(ISBLANK(A1225),"",VLOOKUP(C1225,RELACIONES!$A$3:$B$70,2,FALSE))</f>
        <v/>
      </c>
      <c r="K1225" s="35" t="str">
        <f>IF(ISBLANK(A1225),"",VLOOKUP(J1225,RELACIONES!$B$3:$E$83,4,FALSE)*E1225)</f>
        <v/>
      </c>
    </row>
    <row r="1226" ht="15.75" customHeight="1">
      <c r="A1226" s="50"/>
      <c r="B1226" s="50"/>
      <c r="C1226" s="50"/>
      <c r="D1226" s="50"/>
      <c r="E1226" s="50"/>
      <c r="F1226" s="50"/>
      <c r="G1226" s="50"/>
      <c r="H1226" s="50"/>
      <c r="I1226" s="34" t="str">
        <f>IF(ISBLANK(A1226),"",VLOOKUP(A1226,RELACIONES!$G$3:$H$65,2,FALSE()))</f>
        <v/>
      </c>
      <c r="J1226" s="35" t="str">
        <f>IF(ISBLANK(A1226),"",VLOOKUP(C1226,RELACIONES!$A$3:$B$70,2,FALSE))</f>
        <v/>
      </c>
      <c r="K1226" s="35" t="str">
        <f>IF(ISBLANK(A1226),"",VLOOKUP(J1226,RELACIONES!$B$3:$E$83,4,FALSE)*E1226)</f>
        <v/>
      </c>
    </row>
    <row r="1227" ht="15.75" customHeight="1">
      <c r="A1227" s="50"/>
      <c r="B1227" s="50"/>
      <c r="C1227" s="50"/>
      <c r="D1227" s="50"/>
      <c r="E1227" s="50"/>
      <c r="F1227" s="50"/>
      <c r="G1227" s="50"/>
      <c r="H1227" s="50"/>
      <c r="I1227" s="34" t="str">
        <f>IF(ISBLANK(A1227),"",VLOOKUP(A1227,RELACIONES!$G$3:$H$65,2,FALSE()))</f>
        <v/>
      </c>
      <c r="J1227" s="35" t="str">
        <f>IF(ISBLANK(A1227),"",VLOOKUP(C1227,RELACIONES!$A$3:$B$70,2,FALSE))</f>
        <v/>
      </c>
      <c r="K1227" s="35" t="str">
        <f>IF(ISBLANK(A1227),"",VLOOKUP(J1227,RELACIONES!$B$3:$E$83,4,FALSE)*E1227)</f>
        <v/>
      </c>
    </row>
    <row r="1228" ht="15.75" customHeight="1">
      <c r="A1228" s="50"/>
      <c r="B1228" s="50"/>
      <c r="C1228" s="50"/>
      <c r="D1228" s="50"/>
      <c r="E1228" s="50"/>
      <c r="F1228" s="50"/>
      <c r="G1228" s="50"/>
      <c r="H1228" s="50"/>
      <c r="I1228" s="34" t="str">
        <f>IF(ISBLANK(A1228),"",VLOOKUP(A1228,RELACIONES!$G$3:$H$65,2,FALSE()))</f>
        <v/>
      </c>
      <c r="J1228" s="35" t="str">
        <f>IF(ISBLANK(A1228),"",VLOOKUP(C1228,RELACIONES!$A$3:$B$70,2,FALSE))</f>
        <v/>
      </c>
      <c r="K1228" s="35" t="str">
        <f>IF(ISBLANK(A1228),"",VLOOKUP(J1228,RELACIONES!$B$3:$E$83,4,FALSE)*E1228)</f>
        <v/>
      </c>
    </row>
    <row r="1229" ht="15.75" customHeight="1">
      <c r="A1229" s="50"/>
      <c r="B1229" s="50"/>
      <c r="C1229" s="50"/>
      <c r="D1229" s="50"/>
      <c r="E1229" s="50"/>
      <c r="F1229" s="50"/>
      <c r="G1229" s="50"/>
      <c r="H1229" s="50"/>
      <c r="I1229" s="34" t="str">
        <f>IF(ISBLANK(A1229),"",VLOOKUP(A1229,RELACIONES!$G$3:$H$65,2,FALSE()))</f>
        <v/>
      </c>
      <c r="J1229" s="35" t="str">
        <f>IF(ISBLANK(A1229),"",VLOOKUP(C1229,RELACIONES!$A$3:$B$70,2,FALSE))</f>
        <v/>
      </c>
      <c r="K1229" s="35" t="str">
        <f>IF(ISBLANK(A1229),"",VLOOKUP(J1229,RELACIONES!$B$3:$E$83,4,FALSE)*E1229)</f>
        <v/>
      </c>
    </row>
    <row r="1230" ht="15.75" customHeight="1">
      <c r="A1230" s="50"/>
      <c r="B1230" s="50"/>
      <c r="C1230" s="50"/>
      <c r="D1230" s="50"/>
      <c r="E1230" s="50"/>
      <c r="F1230" s="50"/>
      <c r="G1230" s="50"/>
      <c r="H1230" s="50"/>
      <c r="I1230" s="34" t="str">
        <f>IF(ISBLANK(A1230),"",VLOOKUP(A1230,RELACIONES!$G$3:$H$65,2,FALSE()))</f>
        <v/>
      </c>
      <c r="J1230" s="35" t="str">
        <f>IF(ISBLANK(A1230),"",VLOOKUP(C1230,RELACIONES!$A$3:$B$70,2,FALSE))</f>
        <v/>
      </c>
      <c r="K1230" s="35" t="str">
        <f>IF(ISBLANK(A1230),"",VLOOKUP(J1230,RELACIONES!$B$3:$E$83,4,FALSE)*E1230)</f>
        <v/>
      </c>
    </row>
    <row r="1231" ht="15.75" customHeight="1">
      <c r="A1231" s="50"/>
      <c r="B1231" s="50"/>
      <c r="C1231" s="50"/>
      <c r="D1231" s="50"/>
      <c r="E1231" s="50"/>
      <c r="F1231" s="50"/>
      <c r="G1231" s="50"/>
      <c r="H1231" s="50"/>
      <c r="I1231" s="34" t="str">
        <f>IF(ISBLANK(A1231),"",VLOOKUP(A1231,RELACIONES!$G$3:$H$65,2,FALSE()))</f>
        <v/>
      </c>
      <c r="J1231" s="35" t="str">
        <f>IF(ISBLANK(A1231),"",VLOOKUP(C1231,RELACIONES!$A$3:$B$70,2,FALSE))</f>
        <v/>
      </c>
      <c r="K1231" s="35" t="str">
        <f>IF(ISBLANK(A1231),"",VLOOKUP(J1231,RELACIONES!$B$3:$E$83,4,FALSE)*E1231)</f>
        <v/>
      </c>
    </row>
    <row r="1232" ht="15.75" customHeight="1">
      <c r="A1232" s="50"/>
      <c r="B1232" s="50"/>
      <c r="C1232" s="50"/>
      <c r="D1232" s="50"/>
      <c r="E1232" s="50"/>
      <c r="F1232" s="50"/>
      <c r="G1232" s="50"/>
      <c r="H1232" s="50"/>
      <c r="I1232" s="34" t="str">
        <f>IF(ISBLANK(A1232),"",VLOOKUP(A1232,RELACIONES!$G$3:$H$65,2,FALSE()))</f>
        <v/>
      </c>
      <c r="J1232" s="35" t="str">
        <f>IF(ISBLANK(A1232),"",VLOOKUP(C1232,RELACIONES!$A$3:$B$70,2,FALSE))</f>
        <v/>
      </c>
      <c r="K1232" s="35" t="str">
        <f>IF(ISBLANK(A1232),"",VLOOKUP(J1232,RELACIONES!$B$3:$E$83,4,FALSE)*E1232)</f>
        <v/>
      </c>
    </row>
    <row r="1233" ht="15.75" customHeight="1">
      <c r="A1233" s="50"/>
      <c r="B1233" s="50"/>
      <c r="C1233" s="50"/>
      <c r="D1233" s="50"/>
      <c r="E1233" s="50"/>
      <c r="F1233" s="50"/>
      <c r="G1233" s="50"/>
      <c r="H1233" s="50"/>
      <c r="I1233" s="34" t="str">
        <f>IF(ISBLANK(A1233),"",VLOOKUP(A1233,RELACIONES!$G$3:$H$65,2,FALSE()))</f>
        <v/>
      </c>
      <c r="J1233" s="35" t="str">
        <f>IF(ISBLANK(A1233),"",VLOOKUP(C1233,RELACIONES!$A$3:$B$70,2,FALSE))</f>
        <v/>
      </c>
      <c r="K1233" s="35" t="str">
        <f>IF(ISBLANK(A1233),"",VLOOKUP(J1233,RELACIONES!$B$3:$E$83,4,FALSE)*E1233)</f>
        <v/>
      </c>
    </row>
    <row r="1234" ht="15.75" customHeight="1">
      <c r="A1234" s="50"/>
      <c r="B1234" s="50"/>
      <c r="C1234" s="50"/>
      <c r="D1234" s="50"/>
      <c r="E1234" s="50"/>
      <c r="F1234" s="50"/>
      <c r="G1234" s="50"/>
      <c r="H1234" s="50"/>
      <c r="I1234" s="34" t="str">
        <f>IF(ISBLANK(A1234),"",VLOOKUP(A1234,RELACIONES!$G$3:$H$65,2,FALSE()))</f>
        <v/>
      </c>
      <c r="J1234" s="35" t="str">
        <f>IF(ISBLANK(A1234),"",VLOOKUP(C1234,RELACIONES!$A$3:$B$70,2,FALSE))</f>
        <v/>
      </c>
      <c r="K1234" s="35" t="str">
        <f>IF(ISBLANK(A1234),"",VLOOKUP(J1234,RELACIONES!$B$3:$E$83,4,FALSE)*E1234)</f>
        <v/>
      </c>
    </row>
    <row r="1235" ht="15.75" customHeight="1">
      <c r="A1235" s="50"/>
      <c r="B1235" s="50"/>
      <c r="C1235" s="50"/>
      <c r="D1235" s="50"/>
      <c r="E1235" s="50"/>
      <c r="F1235" s="50"/>
      <c r="G1235" s="50"/>
      <c r="H1235" s="50"/>
      <c r="I1235" s="34" t="str">
        <f>IF(ISBLANK(A1235),"",VLOOKUP(A1235,RELACIONES!$G$3:$H$65,2,FALSE()))</f>
        <v/>
      </c>
      <c r="J1235" s="35" t="str">
        <f>IF(ISBLANK(A1235),"",VLOOKUP(C1235,RELACIONES!$A$3:$B$70,2,FALSE))</f>
        <v/>
      </c>
      <c r="K1235" s="35" t="str">
        <f>IF(ISBLANK(A1235),"",VLOOKUP(J1235,RELACIONES!$B$3:$E$83,4,FALSE)*E1235)</f>
        <v/>
      </c>
    </row>
    <row r="1236" ht="15.75" customHeight="1">
      <c r="A1236" s="50"/>
      <c r="B1236" s="50"/>
      <c r="C1236" s="50"/>
      <c r="D1236" s="50"/>
      <c r="E1236" s="50"/>
      <c r="F1236" s="50"/>
      <c r="G1236" s="50"/>
      <c r="H1236" s="50"/>
      <c r="I1236" s="34" t="str">
        <f>IF(ISBLANK(A1236),"",VLOOKUP(A1236,RELACIONES!$G$3:$H$65,2,FALSE()))</f>
        <v/>
      </c>
      <c r="J1236" s="35" t="str">
        <f>IF(ISBLANK(A1236),"",VLOOKUP(C1236,RELACIONES!$A$3:$B$70,2,FALSE))</f>
        <v/>
      </c>
      <c r="K1236" s="35" t="str">
        <f>IF(ISBLANK(A1236),"",VLOOKUP(J1236,RELACIONES!$B$3:$E$83,4,FALSE)*E1236)</f>
        <v/>
      </c>
    </row>
    <row r="1237" ht="15.75" customHeight="1">
      <c r="A1237" s="50"/>
      <c r="B1237" s="50"/>
      <c r="C1237" s="50"/>
      <c r="D1237" s="50"/>
      <c r="E1237" s="50"/>
      <c r="F1237" s="50"/>
      <c r="G1237" s="50"/>
      <c r="H1237" s="50"/>
      <c r="I1237" s="34" t="str">
        <f>IF(ISBLANK(A1237),"",VLOOKUP(A1237,RELACIONES!$G$3:$H$65,2,FALSE()))</f>
        <v/>
      </c>
      <c r="J1237" s="35" t="str">
        <f>IF(ISBLANK(A1237),"",VLOOKUP(C1237,RELACIONES!$A$3:$B$70,2,FALSE))</f>
        <v/>
      </c>
      <c r="K1237" s="35" t="str">
        <f>IF(ISBLANK(A1237),"",VLOOKUP(J1237,RELACIONES!$B$3:$E$83,4,FALSE)*E1237)</f>
        <v/>
      </c>
    </row>
    <row r="1238" ht="15.75" customHeight="1">
      <c r="A1238" s="50"/>
      <c r="B1238" s="50"/>
      <c r="C1238" s="50"/>
      <c r="D1238" s="50"/>
      <c r="E1238" s="50"/>
      <c r="F1238" s="50"/>
      <c r="G1238" s="50"/>
      <c r="H1238" s="50"/>
      <c r="I1238" s="34" t="str">
        <f>IF(ISBLANK(A1238),"",VLOOKUP(A1238,RELACIONES!$G$3:$H$65,2,FALSE()))</f>
        <v/>
      </c>
      <c r="J1238" s="35" t="str">
        <f>IF(ISBLANK(A1238),"",VLOOKUP(C1238,RELACIONES!$A$3:$B$70,2,FALSE))</f>
        <v/>
      </c>
      <c r="K1238" s="35" t="str">
        <f>IF(ISBLANK(A1238),"",VLOOKUP(J1238,RELACIONES!$B$3:$E$83,4,FALSE)*E1238)</f>
        <v/>
      </c>
    </row>
    <row r="1239" ht="15.75" customHeight="1">
      <c r="A1239" s="50"/>
      <c r="B1239" s="50"/>
      <c r="C1239" s="50"/>
      <c r="D1239" s="50"/>
      <c r="E1239" s="50"/>
      <c r="F1239" s="50"/>
      <c r="G1239" s="50"/>
      <c r="H1239" s="50"/>
      <c r="I1239" s="34" t="str">
        <f>IF(ISBLANK(A1239),"",VLOOKUP(A1239,RELACIONES!$G$3:$H$65,2,FALSE()))</f>
        <v/>
      </c>
      <c r="J1239" s="35" t="str">
        <f>IF(ISBLANK(A1239),"",VLOOKUP(C1239,RELACIONES!$A$3:$B$70,2,FALSE))</f>
        <v/>
      </c>
      <c r="K1239" s="35" t="str">
        <f>IF(ISBLANK(A1239),"",VLOOKUP(J1239,RELACIONES!$B$3:$E$83,4,FALSE)*E1239)</f>
        <v/>
      </c>
    </row>
    <row r="1240" ht="15.75" customHeight="1">
      <c r="A1240" s="50"/>
      <c r="B1240" s="50"/>
      <c r="C1240" s="50"/>
      <c r="D1240" s="50"/>
      <c r="E1240" s="50"/>
      <c r="F1240" s="50"/>
      <c r="G1240" s="50"/>
      <c r="H1240" s="50"/>
      <c r="I1240" s="34" t="str">
        <f>IF(ISBLANK(A1240),"",VLOOKUP(A1240,RELACIONES!$G$3:$H$65,2,FALSE()))</f>
        <v/>
      </c>
      <c r="J1240" s="35" t="str">
        <f>IF(ISBLANK(A1240),"",VLOOKUP(C1240,RELACIONES!$A$3:$B$70,2,FALSE))</f>
        <v/>
      </c>
      <c r="K1240" s="35" t="str">
        <f>IF(ISBLANK(A1240),"",VLOOKUP(J1240,RELACIONES!$B$3:$E$83,4,FALSE)*E1240)</f>
        <v/>
      </c>
    </row>
    <row r="1241" ht="15.75" customHeight="1">
      <c r="A1241" s="50"/>
      <c r="B1241" s="50"/>
      <c r="C1241" s="50"/>
      <c r="D1241" s="50"/>
      <c r="E1241" s="50"/>
      <c r="F1241" s="50"/>
      <c r="G1241" s="50"/>
      <c r="H1241" s="50"/>
      <c r="I1241" s="34" t="str">
        <f>IF(ISBLANK(A1241),"",VLOOKUP(A1241,RELACIONES!$G$3:$H$65,2,FALSE()))</f>
        <v/>
      </c>
      <c r="J1241" s="35" t="str">
        <f>IF(ISBLANK(A1241),"",VLOOKUP(C1241,RELACIONES!$A$3:$B$70,2,FALSE))</f>
        <v/>
      </c>
      <c r="K1241" s="35" t="str">
        <f>IF(ISBLANK(A1241),"",VLOOKUP(J1241,RELACIONES!$B$3:$E$83,4,FALSE)*E1241)</f>
        <v/>
      </c>
    </row>
    <row r="1242" ht="15.75" customHeight="1">
      <c r="A1242" s="50"/>
      <c r="B1242" s="50"/>
      <c r="C1242" s="50"/>
      <c r="D1242" s="50"/>
      <c r="E1242" s="50"/>
      <c r="F1242" s="50"/>
      <c r="G1242" s="50"/>
      <c r="H1242" s="50"/>
      <c r="I1242" s="34" t="str">
        <f>IF(ISBLANK(A1242),"",VLOOKUP(A1242,RELACIONES!$G$3:$H$65,2,FALSE()))</f>
        <v/>
      </c>
      <c r="J1242" s="35" t="str">
        <f>IF(ISBLANK(A1242),"",VLOOKUP(C1242,RELACIONES!$A$3:$B$70,2,FALSE))</f>
        <v/>
      </c>
      <c r="K1242" s="35" t="str">
        <f>IF(ISBLANK(A1242),"",VLOOKUP(J1242,RELACIONES!$B$3:$E$83,4,FALSE)*E1242)</f>
        <v/>
      </c>
    </row>
    <row r="1243" ht="15.75" customHeight="1">
      <c r="A1243" s="50"/>
      <c r="B1243" s="50"/>
      <c r="C1243" s="50"/>
      <c r="D1243" s="50"/>
      <c r="E1243" s="50"/>
      <c r="F1243" s="50"/>
      <c r="G1243" s="50"/>
      <c r="H1243" s="50"/>
      <c r="I1243" s="34" t="str">
        <f>IF(ISBLANK(A1243),"",VLOOKUP(A1243,RELACIONES!$G$3:$H$65,2,FALSE()))</f>
        <v/>
      </c>
      <c r="J1243" s="35" t="str">
        <f>IF(ISBLANK(A1243),"",VLOOKUP(C1243,RELACIONES!$A$3:$B$70,2,FALSE))</f>
        <v/>
      </c>
      <c r="K1243" s="35" t="str">
        <f>IF(ISBLANK(A1243),"",VLOOKUP(J1243,RELACIONES!$B$3:$E$83,4,FALSE)*E1243)</f>
        <v/>
      </c>
    </row>
    <row r="1244" ht="15.75" customHeight="1">
      <c r="A1244" s="50"/>
      <c r="B1244" s="50"/>
      <c r="C1244" s="50"/>
      <c r="D1244" s="50"/>
      <c r="E1244" s="50"/>
      <c r="F1244" s="50"/>
      <c r="G1244" s="50"/>
      <c r="H1244" s="50"/>
      <c r="I1244" s="34" t="str">
        <f>IF(ISBLANK(A1244),"",VLOOKUP(A1244,RELACIONES!$G$3:$H$65,2,FALSE()))</f>
        <v/>
      </c>
      <c r="J1244" s="35" t="str">
        <f>IF(ISBLANK(A1244),"",VLOOKUP(C1244,RELACIONES!$A$3:$B$70,2,FALSE))</f>
        <v/>
      </c>
      <c r="K1244" s="35" t="str">
        <f>IF(ISBLANK(A1244),"",VLOOKUP(J1244,RELACIONES!$B$3:$E$83,4,FALSE)*E1244)</f>
        <v/>
      </c>
    </row>
    <row r="1245" ht="15.75" customHeight="1">
      <c r="A1245" s="50"/>
      <c r="B1245" s="50"/>
      <c r="C1245" s="50"/>
      <c r="D1245" s="50"/>
      <c r="E1245" s="50"/>
      <c r="F1245" s="50"/>
      <c r="G1245" s="50"/>
      <c r="H1245" s="50"/>
      <c r="I1245" s="34" t="str">
        <f>IF(ISBLANK(A1245),"",VLOOKUP(A1245,RELACIONES!$G$3:$H$65,2,FALSE()))</f>
        <v/>
      </c>
      <c r="J1245" s="35" t="str">
        <f>IF(ISBLANK(A1245),"",VLOOKUP(C1245,RELACIONES!$A$3:$B$70,2,FALSE))</f>
        <v/>
      </c>
      <c r="K1245" s="35" t="str">
        <f>IF(ISBLANK(A1245),"",VLOOKUP(J1245,RELACIONES!$B$3:$E$83,4,FALSE)*E1245)</f>
        <v/>
      </c>
    </row>
    <row r="1246" ht="15.75" customHeight="1">
      <c r="A1246" s="50"/>
      <c r="B1246" s="50"/>
      <c r="C1246" s="50"/>
      <c r="D1246" s="50"/>
      <c r="E1246" s="50"/>
      <c r="F1246" s="50"/>
      <c r="G1246" s="50"/>
      <c r="H1246" s="50"/>
      <c r="I1246" s="34" t="str">
        <f>IF(ISBLANK(A1246),"",VLOOKUP(A1246,RELACIONES!$G$3:$H$65,2,FALSE()))</f>
        <v/>
      </c>
      <c r="J1246" s="35" t="str">
        <f>IF(ISBLANK(A1246),"",VLOOKUP(C1246,RELACIONES!$A$3:$B$70,2,FALSE))</f>
        <v/>
      </c>
      <c r="K1246" s="35" t="str">
        <f>IF(ISBLANK(A1246),"",VLOOKUP(J1246,RELACIONES!$B$3:$E$83,4,FALSE)*E1246)</f>
        <v/>
      </c>
    </row>
    <row r="1247" ht="15.75" customHeight="1">
      <c r="A1247" s="50"/>
      <c r="B1247" s="50"/>
      <c r="C1247" s="50"/>
      <c r="D1247" s="50"/>
      <c r="E1247" s="50"/>
      <c r="F1247" s="50"/>
      <c r="G1247" s="50"/>
      <c r="H1247" s="50"/>
      <c r="I1247" s="34" t="str">
        <f>IF(ISBLANK(A1247),"",VLOOKUP(A1247,RELACIONES!$G$3:$H$65,2,FALSE()))</f>
        <v/>
      </c>
      <c r="J1247" s="35" t="str">
        <f>IF(ISBLANK(A1247),"",VLOOKUP(C1247,RELACIONES!$A$3:$B$70,2,FALSE))</f>
        <v/>
      </c>
      <c r="K1247" s="35" t="str">
        <f>IF(ISBLANK(A1247),"",VLOOKUP(J1247,RELACIONES!$B$3:$E$83,4,FALSE)*E1247)</f>
        <v/>
      </c>
    </row>
    <row r="1248" ht="15.75" customHeight="1">
      <c r="A1248" s="50"/>
      <c r="B1248" s="50"/>
      <c r="C1248" s="50"/>
      <c r="D1248" s="50"/>
      <c r="E1248" s="50"/>
      <c r="F1248" s="50"/>
      <c r="G1248" s="50"/>
      <c r="H1248" s="50"/>
      <c r="I1248" s="34" t="str">
        <f>IF(ISBLANK(A1248),"",VLOOKUP(A1248,RELACIONES!$G$3:$H$65,2,FALSE()))</f>
        <v/>
      </c>
      <c r="J1248" s="35" t="str">
        <f>IF(ISBLANK(A1248),"",VLOOKUP(C1248,RELACIONES!$A$3:$B$70,2,FALSE))</f>
        <v/>
      </c>
      <c r="K1248" s="35" t="str">
        <f>IF(ISBLANK(A1248),"",VLOOKUP(J1248,RELACIONES!$B$3:$E$83,4,FALSE)*E1248)</f>
        <v/>
      </c>
    </row>
    <row r="1249" ht="15.75" customHeight="1">
      <c r="A1249" s="50"/>
      <c r="B1249" s="50"/>
      <c r="C1249" s="50"/>
      <c r="D1249" s="50"/>
      <c r="E1249" s="50"/>
      <c r="F1249" s="50"/>
      <c r="G1249" s="50"/>
      <c r="H1249" s="50"/>
      <c r="I1249" s="34" t="str">
        <f>IF(ISBLANK(A1249),"",VLOOKUP(A1249,RELACIONES!$G$3:$H$65,2,FALSE()))</f>
        <v/>
      </c>
      <c r="J1249" s="35" t="str">
        <f>IF(ISBLANK(A1249),"",VLOOKUP(C1249,RELACIONES!$A$3:$B$70,2,FALSE))</f>
        <v/>
      </c>
      <c r="K1249" s="35" t="str">
        <f>IF(ISBLANK(A1249),"",VLOOKUP(J1249,RELACIONES!$B$3:$E$83,4,FALSE)*E1249)</f>
        <v/>
      </c>
    </row>
    <row r="1250" ht="15.75" customHeight="1">
      <c r="A1250" s="50"/>
      <c r="B1250" s="50"/>
      <c r="C1250" s="50"/>
      <c r="D1250" s="50"/>
      <c r="E1250" s="50"/>
      <c r="F1250" s="50"/>
      <c r="G1250" s="50"/>
      <c r="H1250" s="50"/>
      <c r="I1250" s="34" t="str">
        <f>IF(ISBLANK(A1250),"",VLOOKUP(A1250,RELACIONES!$G$3:$H$65,2,FALSE()))</f>
        <v/>
      </c>
      <c r="J1250" s="35" t="str">
        <f>IF(ISBLANK(A1250),"",VLOOKUP(C1250,RELACIONES!$A$3:$B$70,2,FALSE))</f>
        <v/>
      </c>
      <c r="K1250" s="35" t="str">
        <f>IF(ISBLANK(A1250),"",VLOOKUP(J1250,RELACIONES!$B$3:$E$83,4,FALSE)*E1250)</f>
        <v/>
      </c>
    </row>
    <row r="1251" ht="15.75" customHeight="1">
      <c r="A1251" s="50"/>
      <c r="B1251" s="50"/>
      <c r="C1251" s="50"/>
      <c r="D1251" s="50"/>
      <c r="E1251" s="50"/>
      <c r="F1251" s="50"/>
      <c r="G1251" s="50"/>
      <c r="H1251" s="50"/>
      <c r="I1251" s="34" t="str">
        <f>IF(ISBLANK(A1251),"",VLOOKUP(A1251,RELACIONES!$G$3:$H$65,2,FALSE()))</f>
        <v/>
      </c>
      <c r="J1251" s="35" t="str">
        <f>IF(ISBLANK(A1251),"",VLOOKUP(C1251,RELACIONES!$A$3:$B$70,2,FALSE))</f>
        <v/>
      </c>
      <c r="K1251" s="35" t="str">
        <f>IF(ISBLANK(A1251),"",VLOOKUP(J1251,RELACIONES!$B$3:$E$83,4,FALSE)*E1251)</f>
        <v/>
      </c>
    </row>
    <row r="1252" ht="15.75" customHeight="1">
      <c r="A1252" s="50"/>
      <c r="B1252" s="50"/>
      <c r="C1252" s="50"/>
      <c r="D1252" s="50"/>
      <c r="E1252" s="50"/>
      <c r="F1252" s="50"/>
      <c r="G1252" s="50"/>
      <c r="H1252" s="50"/>
      <c r="I1252" s="34" t="str">
        <f>IF(ISBLANK(A1252),"",VLOOKUP(A1252,RELACIONES!$G$3:$H$65,2,FALSE()))</f>
        <v/>
      </c>
      <c r="J1252" s="35" t="str">
        <f>IF(ISBLANK(A1252),"",VLOOKUP(C1252,RELACIONES!$A$3:$B$70,2,FALSE))</f>
        <v/>
      </c>
      <c r="K1252" s="35" t="str">
        <f>IF(ISBLANK(A1252),"",VLOOKUP(J1252,RELACIONES!$B$3:$E$83,4,FALSE)*E1252)</f>
        <v/>
      </c>
    </row>
    <row r="1253" ht="15.75" customHeight="1">
      <c r="A1253" s="50"/>
      <c r="B1253" s="50"/>
      <c r="C1253" s="50"/>
      <c r="D1253" s="50"/>
      <c r="E1253" s="50"/>
      <c r="F1253" s="50"/>
      <c r="G1253" s="50"/>
      <c r="H1253" s="50"/>
      <c r="I1253" s="34" t="str">
        <f>IF(ISBLANK(A1253),"",VLOOKUP(A1253,RELACIONES!$G$3:$H$65,2,FALSE()))</f>
        <v/>
      </c>
      <c r="J1253" s="35" t="str">
        <f>IF(ISBLANK(A1253),"",VLOOKUP(C1253,RELACIONES!$A$3:$B$70,2,FALSE))</f>
        <v/>
      </c>
      <c r="K1253" s="35" t="str">
        <f>IF(ISBLANK(A1253),"",VLOOKUP(J1253,RELACIONES!$B$3:$E$83,4,FALSE)*E1253)</f>
        <v/>
      </c>
    </row>
    <row r="1254" ht="15.75" customHeight="1">
      <c r="A1254" s="50"/>
      <c r="B1254" s="50"/>
      <c r="C1254" s="50"/>
      <c r="D1254" s="50"/>
      <c r="E1254" s="50"/>
      <c r="F1254" s="50"/>
      <c r="G1254" s="50"/>
      <c r="H1254" s="50"/>
      <c r="I1254" s="34" t="str">
        <f>IF(ISBLANK(A1254),"",VLOOKUP(A1254,RELACIONES!$G$3:$H$65,2,FALSE()))</f>
        <v/>
      </c>
      <c r="J1254" s="35" t="str">
        <f>IF(ISBLANK(A1254),"",VLOOKUP(C1254,RELACIONES!$A$3:$B$70,2,FALSE))</f>
        <v/>
      </c>
      <c r="K1254" s="35" t="str">
        <f>IF(ISBLANK(A1254),"",VLOOKUP(J1254,RELACIONES!$B$3:$E$83,4,FALSE)*E1254)</f>
        <v/>
      </c>
    </row>
    <row r="1255" ht="15.75" customHeight="1">
      <c r="A1255" s="50"/>
      <c r="B1255" s="50"/>
      <c r="C1255" s="50"/>
      <c r="D1255" s="50"/>
      <c r="E1255" s="50"/>
      <c r="F1255" s="50"/>
      <c r="G1255" s="50"/>
      <c r="H1255" s="50"/>
      <c r="I1255" s="34" t="str">
        <f>IF(ISBLANK(A1255),"",VLOOKUP(A1255,RELACIONES!$G$3:$H$65,2,FALSE()))</f>
        <v/>
      </c>
      <c r="J1255" s="35" t="str">
        <f>IF(ISBLANK(A1255),"",VLOOKUP(C1255,RELACIONES!$A$3:$B$70,2,FALSE))</f>
        <v/>
      </c>
      <c r="K1255" s="35" t="str">
        <f>IF(ISBLANK(A1255),"",VLOOKUP(J1255,RELACIONES!$B$3:$E$83,4,FALSE)*E1255)</f>
        <v/>
      </c>
    </row>
    <row r="1256" ht="15.75" customHeight="1">
      <c r="A1256" s="50"/>
      <c r="B1256" s="50"/>
      <c r="C1256" s="50"/>
      <c r="D1256" s="50"/>
      <c r="E1256" s="50"/>
      <c r="F1256" s="50"/>
      <c r="G1256" s="50"/>
      <c r="H1256" s="50"/>
      <c r="I1256" s="34" t="str">
        <f>IF(ISBLANK(A1256),"",VLOOKUP(A1256,RELACIONES!$G$3:$H$65,2,FALSE()))</f>
        <v/>
      </c>
      <c r="J1256" s="35" t="str">
        <f>IF(ISBLANK(A1256),"",VLOOKUP(C1256,RELACIONES!$A$3:$B$70,2,FALSE))</f>
        <v/>
      </c>
      <c r="K1256" s="35" t="str">
        <f>IF(ISBLANK(A1256),"",VLOOKUP(J1256,RELACIONES!$B$3:$E$83,4,FALSE)*E1256)</f>
        <v/>
      </c>
    </row>
    <row r="1257" ht="15.75" customHeight="1">
      <c r="A1257" s="50"/>
      <c r="B1257" s="50"/>
      <c r="C1257" s="50"/>
      <c r="D1257" s="50"/>
      <c r="E1257" s="50"/>
      <c r="F1257" s="50"/>
      <c r="G1257" s="50"/>
      <c r="H1257" s="50"/>
      <c r="I1257" s="34" t="str">
        <f>IF(ISBLANK(A1257),"",VLOOKUP(A1257,RELACIONES!$G$3:$H$65,2,FALSE()))</f>
        <v/>
      </c>
      <c r="J1257" s="35" t="str">
        <f>IF(ISBLANK(A1257),"",VLOOKUP(C1257,RELACIONES!$A$3:$B$70,2,FALSE))</f>
        <v/>
      </c>
      <c r="K1257" s="35" t="str">
        <f>IF(ISBLANK(A1257),"",VLOOKUP(J1257,RELACIONES!$B$3:$E$83,4,FALSE)*E1257)</f>
        <v/>
      </c>
    </row>
    <row r="1258" ht="15.75" customHeight="1">
      <c r="A1258" s="50"/>
      <c r="B1258" s="50"/>
      <c r="C1258" s="50"/>
      <c r="D1258" s="50"/>
      <c r="E1258" s="50"/>
      <c r="F1258" s="50"/>
      <c r="G1258" s="50"/>
      <c r="H1258" s="50"/>
      <c r="I1258" s="34" t="str">
        <f>IF(ISBLANK(A1258),"",VLOOKUP(A1258,RELACIONES!$G$3:$H$65,2,FALSE()))</f>
        <v/>
      </c>
      <c r="J1258" s="35" t="str">
        <f>IF(ISBLANK(A1258),"",VLOOKUP(C1258,RELACIONES!$A$3:$B$70,2,FALSE))</f>
        <v/>
      </c>
      <c r="K1258" s="35" t="str">
        <f>IF(ISBLANK(A1258),"",VLOOKUP(J1258,RELACIONES!$B$3:$E$83,4,FALSE)*E1258)</f>
        <v/>
      </c>
    </row>
    <row r="1259" ht="15.75" customHeight="1">
      <c r="A1259" s="50"/>
      <c r="B1259" s="50"/>
      <c r="C1259" s="50"/>
      <c r="D1259" s="50"/>
      <c r="E1259" s="50"/>
      <c r="F1259" s="50"/>
      <c r="G1259" s="50"/>
      <c r="H1259" s="50"/>
      <c r="I1259" s="34" t="str">
        <f>IF(ISBLANK(A1259),"",VLOOKUP(A1259,RELACIONES!$G$3:$H$65,2,FALSE()))</f>
        <v/>
      </c>
      <c r="J1259" s="35" t="str">
        <f>IF(ISBLANK(A1259),"",VLOOKUP(C1259,RELACIONES!$A$3:$B$70,2,FALSE))</f>
        <v/>
      </c>
      <c r="K1259" s="35" t="str">
        <f>IF(ISBLANK(A1259),"",VLOOKUP(J1259,RELACIONES!$B$3:$E$83,4,FALSE)*E1259)</f>
        <v/>
      </c>
    </row>
    <row r="1260" ht="15.75" customHeight="1">
      <c r="A1260" s="50"/>
      <c r="B1260" s="50"/>
      <c r="C1260" s="50"/>
      <c r="D1260" s="50"/>
      <c r="E1260" s="50"/>
      <c r="F1260" s="50"/>
      <c r="G1260" s="50"/>
      <c r="H1260" s="50"/>
      <c r="I1260" s="34" t="str">
        <f>IF(ISBLANK(A1260),"",VLOOKUP(A1260,RELACIONES!$G$3:$H$65,2,FALSE()))</f>
        <v/>
      </c>
      <c r="J1260" s="35" t="str">
        <f>IF(ISBLANK(A1260),"",VLOOKUP(C1260,RELACIONES!$A$3:$B$70,2,FALSE))</f>
        <v/>
      </c>
      <c r="K1260" s="35" t="str">
        <f>IF(ISBLANK(A1260),"",VLOOKUP(J1260,RELACIONES!$B$3:$E$83,4,FALSE)*E1260)</f>
        <v/>
      </c>
    </row>
    <row r="1261" ht="15.75" customHeight="1">
      <c r="A1261" s="50"/>
      <c r="B1261" s="50"/>
      <c r="C1261" s="50"/>
      <c r="D1261" s="50"/>
      <c r="E1261" s="50"/>
      <c r="F1261" s="50"/>
      <c r="G1261" s="50"/>
      <c r="H1261" s="50"/>
      <c r="I1261" s="34" t="str">
        <f>IF(ISBLANK(A1261),"",VLOOKUP(A1261,RELACIONES!$G$3:$H$65,2,FALSE()))</f>
        <v/>
      </c>
      <c r="J1261" s="35" t="str">
        <f>IF(ISBLANK(A1261),"",VLOOKUP(C1261,RELACIONES!$A$3:$B$70,2,FALSE))</f>
        <v/>
      </c>
      <c r="K1261" s="35" t="str">
        <f>IF(ISBLANK(A1261),"",VLOOKUP(J1261,RELACIONES!$B$3:$E$83,4,FALSE)*E1261)</f>
        <v/>
      </c>
    </row>
    <row r="1262" ht="15.75" customHeight="1">
      <c r="A1262" s="50"/>
      <c r="B1262" s="50"/>
      <c r="C1262" s="50"/>
      <c r="D1262" s="50"/>
      <c r="E1262" s="50"/>
      <c r="F1262" s="50"/>
      <c r="G1262" s="50"/>
      <c r="H1262" s="50"/>
      <c r="I1262" s="34" t="str">
        <f>IF(ISBLANK(A1262),"",VLOOKUP(A1262,RELACIONES!$G$3:$H$65,2,FALSE()))</f>
        <v/>
      </c>
      <c r="J1262" s="35" t="str">
        <f>IF(ISBLANK(A1262),"",VLOOKUP(C1262,RELACIONES!$A$3:$B$70,2,FALSE))</f>
        <v/>
      </c>
      <c r="K1262" s="35" t="str">
        <f>IF(ISBLANK(A1262),"",VLOOKUP(J1262,RELACIONES!$B$3:$E$83,4,FALSE)*E1262)</f>
        <v/>
      </c>
    </row>
    <row r="1263" ht="15.75" customHeight="1">
      <c r="A1263" s="50"/>
      <c r="B1263" s="50"/>
      <c r="C1263" s="50"/>
      <c r="D1263" s="50"/>
      <c r="E1263" s="50"/>
      <c r="F1263" s="50"/>
      <c r="G1263" s="50"/>
      <c r="H1263" s="50"/>
      <c r="I1263" s="34" t="str">
        <f>IF(ISBLANK(A1263),"",VLOOKUP(A1263,RELACIONES!$G$3:$H$65,2,FALSE()))</f>
        <v/>
      </c>
      <c r="J1263" s="35" t="str">
        <f>IF(ISBLANK(A1263),"",VLOOKUP(C1263,RELACIONES!$A$3:$B$70,2,FALSE))</f>
        <v/>
      </c>
      <c r="K1263" s="35" t="str">
        <f>IF(ISBLANK(A1263),"",VLOOKUP(J1263,RELACIONES!$B$3:$E$83,4,FALSE)*E1263)</f>
        <v/>
      </c>
    </row>
    <row r="1264" ht="15.75" customHeight="1">
      <c r="A1264" s="50"/>
      <c r="B1264" s="50"/>
      <c r="C1264" s="50"/>
      <c r="D1264" s="50"/>
      <c r="E1264" s="50"/>
      <c r="F1264" s="50"/>
      <c r="G1264" s="50"/>
      <c r="H1264" s="50"/>
      <c r="I1264" s="34" t="str">
        <f>IF(ISBLANK(A1264),"",VLOOKUP(A1264,RELACIONES!$G$3:$H$65,2,FALSE()))</f>
        <v/>
      </c>
      <c r="J1264" s="35" t="str">
        <f>IF(ISBLANK(A1264),"",VLOOKUP(C1264,RELACIONES!$A$3:$B$70,2,FALSE))</f>
        <v/>
      </c>
      <c r="K1264" s="35" t="str">
        <f>IF(ISBLANK(A1264),"",VLOOKUP(J1264,RELACIONES!$B$3:$E$83,4,FALSE)*E1264)</f>
        <v/>
      </c>
    </row>
    <row r="1265" ht="15.75" customHeight="1">
      <c r="A1265" s="50"/>
      <c r="B1265" s="50"/>
      <c r="C1265" s="50"/>
      <c r="D1265" s="50"/>
      <c r="E1265" s="50"/>
      <c r="F1265" s="50"/>
      <c r="G1265" s="50"/>
      <c r="H1265" s="50"/>
      <c r="I1265" s="34" t="str">
        <f>IF(ISBLANK(A1265),"",VLOOKUP(A1265,RELACIONES!$G$3:$H$65,2,FALSE()))</f>
        <v/>
      </c>
      <c r="J1265" s="35" t="str">
        <f>IF(ISBLANK(A1265),"",VLOOKUP(C1265,RELACIONES!$A$3:$B$70,2,FALSE))</f>
        <v/>
      </c>
      <c r="K1265" s="35" t="str">
        <f>IF(ISBLANK(A1265),"",VLOOKUP(J1265,RELACIONES!$B$3:$E$83,4,FALSE)*E1265)</f>
        <v/>
      </c>
    </row>
    <row r="1266" ht="15.75" customHeight="1">
      <c r="A1266" s="50"/>
      <c r="B1266" s="50"/>
      <c r="C1266" s="50"/>
      <c r="D1266" s="50"/>
      <c r="E1266" s="50"/>
      <c r="F1266" s="50"/>
      <c r="G1266" s="50"/>
      <c r="H1266" s="50"/>
      <c r="I1266" s="34" t="str">
        <f>IF(ISBLANK(A1266),"",VLOOKUP(A1266,RELACIONES!$G$3:$H$65,2,FALSE()))</f>
        <v/>
      </c>
      <c r="J1266" s="35" t="str">
        <f>IF(ISBLANK(A1266),"",VLOOKUP(C1266,RELACIONES!$A$3:$B$70,2,FALSE))</f>
        <v/>
      </c>
      <c r="K1266" s="35" t="str">
        <f>IF(ISBLANK(A1266),"",VLOOKUP(J1266,RELACIONES!$B$3:$E$83,4,FALSE)*E1266)</f>
        <v/>
      </c>
    </row>
    <row r="1267" ht="15.75" customHeight="1">
      <c r="A1267" s="50"/>
      <c r="B1267" s="50"/>
      <c r="C1267" s="50"/>
      <c r="D1267" s="50"/>
      <c r="E1267" s="50"/>
      <c r="F1267" s="50"/>
      <c r="G1267" s="50"/>
      <c r="H1267" s="50"/>
      <c r="I1267" s="34" t="str">
        <f>IF(ISBLANK(A1267),"",VLOOKUP(A1267,RELACIONES!$G$3:$H$65,2,FALSE()))</f>
        <v/>
      </c>
      <c r="J1267" s="35" t="str">
        <f>IF(ISBLANK(A1267),"",VLOOKUP(C1267,RELACIONES!$A$3:$B$70,2,FALSE))</f>
        <v/>
      </c>
      <c r="K1267" s="35" t="str">
        <f>IF(ISBLANK(A1267),"",VLOOKUP(J1267,RELACIONES!$B$3:$E$83,4,FALSE)*E1267)</f>
        <v/>
      </c>
    </row>
    <row r="1268" ht="15.75" customHeight="1">
      <c r="A1268" s="50"/>
      <c r="B1268" s="50"/>
      <c r="C1268" s="50"/>
      <c r="D1268" s="50"/>
      <c r="E1268" s="50"/>
      <c r="F1268" s="50"/>
      <c r="G1268" s="50"/>
      <c r="H1268" s="50"/>
      <c r="I1268" s="34" t="str">
        <f>IF(ISBLANK(A1268),"",VLOOKUP(A1268,RELACIONES!$G$3:$H$65,2,FALSE()))</f>
        <v/>
      </c>
      <c r="J1268" s="35" t="str">
        <f>IF(ISBLANK(A1268),"",VLOOKUP(C1268,RELACIONES!$A$3:$B$70,2,FALSE))</f>
        <v/>
      </c>
      <c r="K1268" s="35" t="str">
        <f>IF(ISBLANK(A1268),"",VLOOKUP(J1268,RELACIONES!$B$3:$E$83,4,FALSE)*E1268)</f>
        <v/>
      </c>
    </row>
    <row r="1269" ht="15.75" customHeight="1">
      <c r="A1269" s="50"/>
      <c r="B1269" s="50"/>
      <c r="C1269" s="50"/>
      <c r="D1269" s="50"/>
      <c r="E1269" s="50"/>
      <c r="F1269" s="50"/>
      <c r="G1269" s="50"/>
      <c r="H1269" s="50"/>
      <c r="I1269" s="34" t="str">
        <f>IF(ISBLANK(A1269),"",VLOOKUP(A1269,RELACIONES!$G$3:$H$65,2,FALSE()))</f>
        <v/>
      </c>
      <c r="J1269" s="35" t="str">
        <f>IF(ISBLANK(A1269),"",VLOOKUP(C1269,RELACIONES!$A$3:$B$70,2,FALSE))</f>
        <v/>
      </c>
      <c r="K1269" s="35" t="str">
        <f>IF(ISBLANK(A1269),"",VLOOKUP(J1269,RELACIONES!$B$3:$E$83,4,FALSE)*E1269)</f>
        <v/>
      </c>
    </row>
    <row r="1270" ht="15.75" customHeight="1">
      <c r="A1270" s="50"/>
      <c r="B1270" s="50"/>
      <c r="C1270" s="50"/>
      <c r="D1270" s="50"/>
      <c r="E1270" s="50"/>
      <c r="F1270" s="50"/>
      <c r="G1270" s="50"/>
      <c r="H1270" s="50"/>
      <c r="I1270" s="34" t="str">
        <f>IF(ISBLANK(A1270),"",VLOOKUP(A1270,RELACIONES!$G$3:$H$65,2,FALSE()))</f>
        <v/>
      </c>
      <c r="J1270" s="35" t="str">
        <f>IF(ISBLANK(A1270),"",VLOOKUP(C1270,RELACIONES!$A$3:$B$70,2,FALSE))</f>
        <v/>
      </c>
      <c r="K1270" s="35" t="str">
        <f>IF(ISBLANK(A1270),"",VLOOKUP(J1270,RELACIONES!$B$3:$E$83,4,FALSE)*E1270)</f>
        <v/>
      </c>
    </row>
    <row r="1271" ht="15.75" customHeight="1">
      <c r="A1271" s="50"/>
      <c r="B1271" s="50"/>
      <c r="C1271" s="50"/>
      <c r="D1271" s="50"/>
      <c r="E1271" s="50"/>
      <c r="F1271" s="50"/>
      <c r="G1271" s="50"/>
      <c r="H1271" s="50"/>
      <c r="I1271" s="34" t="str">
        <f>IF(ISBLANK(A1271),"",VLOOKUP(A1271,RELACIONES!$G$3:$H$65,2,FALSE()))</f>
        <v/>
      </c>
      <c r="J1271" s="35" t="str">
        <f>IF(ISBLANK(A1271),"",VLOOKUP(C1271,RELACIONES!$A$3:$B$70,2,FALSE))</f>
        <v/>
      </c>
      <c r="K1271" s="35" t="str">
        <f>IF(ISBLANK(A1271),"",VLOOKUP(J1271,RELACIONES!$B$3:$E$83,4,FALSE)*E1271)</f>
        <v/>
      </c>
    </row>
    <row r="1272" ht="15.75" customHeight="1">
      <c r="A1272" s="50"/>
      <c r="B1272" s="50"/>
      <c r="C1272" s="50"/>
      <c r="D1272" s="50"/>
      <c r="E1272" s="50"/>
      <c r="F1272" s="50"/>
      <c r="G1272" s="50"/>
      <c r="H1272" s="50"/>
      <c r="I1272" s="34" t="str">
        <f>IF(ISBLANK(A1272),"",VLOOKUP(A1272,RELACIONES!$G$3:$H$65,2,FALSE()))</f>
        <v/>
      </c>
      <c r="J1272" s="35" t="str">
        <f>IF(ISBLANK(A1272),"",VLOOKUP(C1272,RELACIONES!$A$3:$B$70,2,FALSE))</f>
        <v/>
      </c>
      <c r="K1272" s="35" t="str">
        <f>IF(ISBLANK(A1272),"",VLOOKUP(J1272,RELACIONES!$B$3:$E$83,4,FALSE)*E1272)</f>
        <v/>
      </c>
    </row>
    <row r="1273" ht="15.75" customHeight="1">
      <c r="A1273" s="50"/>
      <c r="B1273" s="50"/>
      <c r="C1273" s="50"/>
      <c r="D1273" s="50"/>
      <c r="E1273" s="50"/>
      <c r="F1273" s="50"/>
      <c r="G1273" s="50"/>
      <c r="H1273" s="50"/>
      <c r="I1273" s="34" t="str">
        <f>IF(ISBLANK(A1273),"",VLOOKUP(A1273,RELACIONES!$G$3:$H$65,2,FALSE()))</f>
        <v/>
      </c>
      <c r="J1273" s="35" t="str">
        <f>IF(ISBLANK(A1273),"",VLOOKUP(C1273,RELACIONES!$A$3:$B$70,2,FALSE))</f>
        <v/>
      </c>
      <c r="K1273" s="35" t="str">
        <f>IF(ISBLANK(A1273),"",VLOOKUP(J1273,RELACIONES!$B$3:$E$83,4,FALSE)*E1273)</f>
        <v/>
      </c>
    </row>
    <row r="1274" ht="15.75" customHeight="1">
      <c r="A1274" s="50"/>
      <c r="B1274" s="50"/>
      <c r="C1274" s="50"/>
      <c r="D1274" s="50"/>
      <c r="E1274" s="50"/>
      <c r="F1274" s="50"/>
      <c r="G1274" s="50"/>
      <c r="H1274" s="50"/>
      <c r="I1274" s="34" t="str">
        <f>IF(ISBLANK(A1274),"",VLOOKUP(A1274,RELACIONES!$G$3:$H$65,2,FALSE()))</f>
        <v/>
      </c>
      <c r="J1274" s="35" t="str">
        <f>IF(ISBLANK(A1274),"",VLOOKUP(C1274,RELACIONES!$A$3:$B$70,2,FALSE))</f>
        <v/>
      </c>
      <c r="K1274" s="35" t="str">
        <f>IF(ISBLANK(A1274),"",VLOOKUP(J1274,RELACIONES!$B$3:$E$83,4,FALSE)*E1274)</f>
        <v/>
      </c>
    </row>
    <row r="1275" ht="15.75" customHeight="1">
      <c r="A1275" s="50"/>
      <c r="B1275" s="50"/>
      <c r="C1275" s="50"/>
      <c r="D1275" s="50"/>
      <c r="E1275" s="50"/>
      <c r="F1275" s="50"/>
      <c r="G1275" s="50"/>
      <c r="H1275" s="50"/>
      <c r="I1275" s="34" t="str">
        <f>IF(ISBLANK(A1275),"",VLOOKUP(A1275,RELACIONES!$G$3:$H$65,2,FALSE()))</f>
        <v/>
      </c>
      <c r="J1275" s="35" t="str">
        <f>IF(ISBLANK(A1275),"",VLOOKUP(C1275,RELACIONES!$A$3:$B$70,2,FALSE))</f>
        <v/>
      </c>
      <c r="K1275" s="35" t="str">
        <f>IF(ISBLANK(A1275),"",VLOOKUP(J1275,RELACIONES!$B$3:$E$83,4,FALSE)*E1275)</f>
        <v/>
      </c>
    </row>
    <row r="1276" ht="15.75" customHeight="1">
      <c r="A1276" s="50"/>
      <c r="B1276" s="50"/>
      <c r="C1276" s="50"/>
      <c r="D1276" s="50"/>
      <c r="E1276" s="50"/>
      <c r="F1276" s="50"/>
      <c r="G1276" s="50"/>
      <c r="H1276" s="50"/>
      <c r="I1276" s="34" t="str">
        <f>IF(ISBLANK(A1276),"",VLOOKUP(A1276,RELACIONES!$G$3:$H$65,2,FALSE()))</f>
        <v/>
      </c>
      <c r="J1276" s="35" t="str">
        <f>IF(ISBLANK(A1276),"",VLOOKUP(C1276,RELACIONES!$A$3:$B$70,2,FALSE))</f>
        <v/>
      </c>
      <c r="K1276" s="35" t="str">
        <f>IF(ISBLANK(A1276),"",VLOOKUP(J1276,RELACIONES!$B$3:$E$83,4,FALSE)*E1276)</f>
        <v/>
      </c>
    </row>
    <row r="1277" ht="15.75" customHeight="1">
      <c r="A1277" s="50"/>
      <c r="B1277" s="50"/>
      <c r="C1277" s="50"/>
      <c r="D1277" s="50"/>
      <c r="E1277" s="50"/>
      <c r="F1277" s="50"/>
      <c r="G1277" s="50"/>
      <c r="H1277" s="50"/>
      <c r="I1277" s="34" t="str">
        <f>IF(ISBLANK(A1277),"",VLOOKUP(A1277,RELACIONES!$G$3:$H$65,2,FALSE()))</f>
        <v/>
      </c>
      <c r="J1277" s="35" t="str">
        <f>IF(ISBLANK(A1277),"",VLOOKUP(C1277,RELACIONES!$A$3:$B$70,2,FALSE))</f>
        <v/>
      </c>
      <c r="K1277" s="35" t="str">
        <f>IF(ISBLANK(A1277),"",VLOOKUP(J1277,RELACIONES!$B$3:$E$83,4,FALSE)*E1277)</f>
        <v/>
      </c>
    </row>
    <row r="1278" ht="15.75" customHeight="1">
      <c r="A1278" s="50"/>
      <c r="B1278" s="50"/>
      <c r="C1278" s="50"/>
      <c r="D1278" s="50"/>
      <c r="E1278" s="50"/>
      <c r="F1278" s="50"/>
      <c r="G1278" s="50"/>
      <c r="H1278" s="50"/>
      <c r="I1278" s="34" t="str">
        <f>IF(ISBLANK(A1278),"",VLOOKUP(A1278,RELACIONES!$G$3:$H$65,2,FALSE()))</f>
        <v/>
      </c>
      <c r="J1278" s="35" t="str">
        <f>IF(ISBLANK(A1278),"",VLOOKUP(C1278,RELACIONES!$A$3:$B$70,2,FALSE))</f>
        <v/>
      </c>
      <c r="K1278" s="35" t="str">
        <f>IF(ISBLANK(A1278),"",VLOOKUP(J1278,RELACIONES!$B$3:$E$83,4,FALSE)*E1278)</f>
        <v/>
      </c>
    </row>
    <row r="1279" ht="15.75" customHeight="1">
      <c r="A1279" s="50"/>
      <c r="B1279" s="50"/>
      <c r="C1279" s="50"/>
      <c r="D1279" s="50"/>
      <c r="E1279" s="50"/>
      <c r="F1279" s="50"/>
      <c r="G1279" s="50"/>
      <c r="H1279" s="50"/>
      <c r="I1279" s="34" t="str">
        <f>IF(ISBLANK(A1279),"",VLOOKUP(A1279,RELACIONES!$G$3:$H$65,2,FALSE()))</f>
        <v/>
      </c>
      <c r="J1279" s="35" t="str">
        <f>IF(ISBLANK(A1279),"",VLOOKUP(C1279,RELACIONES!$A$3:$B$70,2,FALSE))</f>
        <v/>
      </c>
      <c r="K1279" s="35" t="str">
        <f>IF(ISBLANK(A1279),"",VLOOKUP(J1279,RELACIONES!$B$3:$E$83,4,FALSE)*E1279)</f>
        <v/>
      </c>
    </row>
    <row r="1280" ht="15.75" customHeight="1">
      <c r="A1280" s="50"/>
      <c r="B1280" s="50"/>
      <c r="C1280" s="50"/>
      <c r="D1280" s="50"/>
      <c r="E1280" s="50"/>
      <c r="F1280" s="50"/>
      <c r="G1280" s="50"/>
      <c r="H1280" s="50"/>
      <c r="I1280" s="34" t="str">
        <f>IF(ISBLANK(A1280),"",VLOOKUP(A1280,RELACIONES!$G$3:$H$65,2,FALSE()))</f>
        <v/>
      </c>
      <c r="J1280" s="35" t="str">
        <f>IF(ISBLANK(A1280),"",VLOOKUP(C1280,RELACIONES!$A$3:$B$70,2,FALSE))</f>
        <v/>
      </c>
      <c r="K1280" s="35" t="str">
        <f>IF(ISBLANK(A1280),"",VLOOKUP(J1280,RELACIONES!$B$3:$E$83,4,FALSE)*E1280)</f>
        <v/>
      </c>
    </row>
    <row r="1281" ht="15.75" customHeight="1">
      <c r="A1281" s="50"/>
      <c r="B1281" s="50"/>
      <c r="C1281" s="50"/>
      <c r="D1281" s="50"/>
      <c r="E1281" s="50"/>
      <c r="F1281" s="50"/>
      <c r="G1281" s="50"/>
      <c r="H1281" s="50"/>
      <c r="I1281" s="34" t="str">
        <f>IF(ISBLANK(A1281),"",VLOOKUP(A1281,RELACIONES!$G$3:$H$65,2,FALSE()))</f>
        <v/>
      </c>
      <c r="J1281" s="35" t="str">
        <f>IF(ISBLANK(A1281),"",VLOOKUP(C1281,RELACIONES!$A$3:$B$70,2,FALSE))</f>
        <v/>
      </c>
      <c r="K1281" s="35" t="str">
        <f>IF(ISBLANK(A1281),"",VLOOKUP(J1281,RELACIONES!$B$3:$E$83,4,FALSE)*E1281)</f>
        <v/>
      </c>
    </row>
    <row r="1282" ht="15.75" customHeight="1">
      <c r="A1282" s="50"/>
      <c r="B1282" s="50"/>
      <c r="C1282" s="50"/>
      <c r="D1282" s="50"/>
      <c r="E1282" s="50"/>
      <c r="F1282" s="50"/>
      <c r="G1282" s="50"/>
      <c r="H1282" s="50"/>
      <c r="I1282" s="34" t="str">
        <f>IF(ISBLANK(A1282),"",VLOOKUP(A1282,RELACIONES!$G$3:$H$65,2,FALSE()))</f>
        <v/>
      </c>
      <c r="J1282" s="35" t="str">
        <f>IF(ISBLANK(A1282),"",VLOOKUP(C1282,RELACIONES!$A$3:$B$70,2,FALSE))</f>
        <v/>
      </c>
      <c r="K1282" s="35" t="str">
        <f>IF(ISBLANK(A1282),"",VLOOKUP(J1282,RELACIONES!$B$3:$E$83,4,FALSE)*E1282)</f>
        <v/>
      </c>
    </row>
    <row r="1283" ht="15.75" customHeight="1">
      <c r="A1283" s="50"/>
      <c r="B1283" s="50"/>
      <c r="C1283" s="50"/>
      <c r="D1283" s="50"/>
      <c r="E1283" s="50"/>
      <c r="F1283" s="50"/>
      <c r="G1283" s="50"/>
      <c r="H1283" s="50"/>
      <c r="I1283" s="34" t="str">
        <f>IF(ISBLANK(A1283),"",VLOOKUP(A1283,RELACIONES!$G$3:$H$65,2,FALSE()))</f>
        <v/>
      </c>
      <c r="J1283" s="35" t="str">
        <f>IF(ISBLANK(A1283),"",VLOOKUP(C1283,RELACIONES!$A$3:$B$70,2,FALSE))</f>
        <v/>
      </c>
      <c r="K1283" s="35" t="str">
        <f>IF(ISBLANK(A1283),"",VLOOKUP(J1283,RELACIONES!$B$3:$E$83,4,FALSE)*E1283)</f>
        <v/>
      </c>
    </row>
    <row r="1284" ht="15.75" customHeight="1">
      <c r="A1284" s="50"/>
      <c r="B1284" s="50"/>
      <c r="C1284" s="50"/>
      <c r="D1284" s="50"/>
      <c r="E1284" s="50"/>
      <c r="F1284" s="50"/>
      <c r="G1284" s="50"/>
      <c r="H1284" s="50"/>
      <c r="I1284" s="34" t="str">
        <f>IF(ISBLANK(A1284),"",VLOOKUP(A1284,RELACIONES!$G$3:$H$65,2,FALSE()))</f>
        <v/>
      </c>
      <c r="J1284" s="35" t="str">
        <f>IF(ISBLANK(A1284),"",VLOOKUP(C1284,RELACIONES!$A$3:$B$70,2,FALSE))</f>
        <v/>
      </c>
      <c r="K1284" s="35" t="str">
        <f>IF(ISBLANK(A1284),"",VLOOKUP(J1284,RELACIONES!$B$3:$E$83,4,FALSE)*E1284)</f>
        <v/>
      </c>
    </row>
    <row r="1285" ht="15.75" customHeight="1">
      <c r="A1285" s="50"/>
      <c r="B1285" s="50"/>
      <c r="C1285" s="50"/>
      <c r="D1285" s="50"/>
      <c r="E1285" s="50"/>
      <c r="F1285" s="50"/>
      <c r="G1285" s="50"/>
      <c r="H1285" s="50"/>
      <c r="I1285" s="34" t="str">
        <f>IF(ISBLANK(A1285),"",VLOOKUP(A1285,RELACIONES!$G$3:$H$65,2,FALSE()))</f>
        <v/>
      </c>
      <c r="J1285" s="35" t="str">
        <f>IF(ISBLANK(A1285),"",VLOOKUP(C1285,RELACIONES!$A$3:$B$70,2,FALSE))</f>
        <v/>
      </c>
      <c r="K1285" s="35" t="str">
        <f>IF(ISBLANK(A1285),"",VLOOKUP(J1285,RELACIONES!$B$3:$E$83,4,FALSE)*E1285)</f>
        <v/>
      </c>
    </row>
    <row r="1286" ht="15.75" customHeight="1">
      <c r="A1286" s="50"/>
      <c r="B1286" s="50"/>
      <c r="C1286" s="50"/>
      <c r="D1286" s="50"/>
      <c r="E1286" s="50"/>
      <c r="F1286" s="50"/>
      <c r="G1286" s="50"/>
      <c r="H1286" s="50"/>
      <c r="I1286" s="34" t="str">
        <f>IF(ISBLANK(A1286),"",VLOOKUP(A1286,RELACIONES!$G$3:$H$65,2,FALSE()))</f>
        <v/>
      </c>
      <c r="J1286" s="35" t="str">
        <f>IF(ISBLANK(A1286),"",VLOOKUP(C1286,RELACIONES!$A$3:$B$70,2,FALSE))</f>
        <v/>
      </c>
      <c r="K1286" s="35" t="str">
        <f>IF(ISBLANK(A1286),"",VLOOKUP(J1286,RELACIONES!$B$3:$E$83,4,FALSE)*E1286)</f>
        <v/>
      </c>
    </row>
    <row r="1287" ht="15.75" customHeight="1">
      <c r="A1287" s="50"/>
      <c r="B1287" s="50"/>
      <c r="C1287" s="50"/>
      <c r="D1287" s="50"/>
      <c r="E1287" s="50"/>
      <c r="F1287" s="50"/>
      <c r="G1287" s="50"/>
      <c r="H1287" s="50"/>
      <c r="I1287" s="34" t="str">
        <f>IF(ISBLANK(A1287),"",VLOOKUP(A1287,RELACIONES!$G$3:$H$65,2,FALSE()))</f>
        <v/>
      </c>
      <c r="J1287" s="35" t="str">
        <f>IF(ISBLANK(A1287),"",VLOOKUP(C1287,RELACIONES!$A$3:$B$70,2,FALSE))</f>
        <v/>
      </c>
      <c r="K1287" s="35" t="str">
        <f>IF(ISBLANK(A1287),"",VLOOKUP(J1287,RELACIONES!$B$3:$E$83,4,FALSE)*E1287)</f>
        <v/>
      </c>
    </row>
    <row r="1288" ht="15.75" customHeight="1">
      <c r="A1288" s="50"/>
      <c r="B1288" s="50"/>
      <c r="C1288" s="50"/>
      <c r="D1288" s="50"/>
      <c r="E1288" s="50"/>
      <c r="F1288" s="50"/>
      <c r="G1288" s="50"/>
      <c r="H1288" s="50"/>
      <c r="I1288" s="34" t="str">
        <f>IF(ISBLANK(A1288),"",VLOOKUP(A1288,RELACIONES!$G$3:$H$65,2,FALSE()))</f>
        <v/>
      </c>
      <c r="J1288" s="35" t="str">
        <f>IF(ISBLANK(A1288),"",VLOOKUP(C1288,RELACIONES!$A$3:$B$70,2,FALSE))</f>
        <v/>
      </c>
      <c r="K1288" s="35" t="str">
        <f>IF(ISBLANK(A1288),"",VLOOKUP(J1288,RELACIONES!$B$3:$E$83,4,FALSE)*E1288)</f>
        <v/>
      </c>
    </row>
    <row r="1289" ht="15.75" customHeight="1">
      <c r="A1289" s="50"/>
      <c r="B1289" s="50"/>
      <c r="C1289" s="50"/>
      <c r="D1289" s="50"/>
      <c r="E1289" s="50"/>
      <c r="F1289" s="50"/>
      <c r="G1289" s="50"/>
      <c r="H1289" s="50"/>
      <c r="I1289" s="34" t="str">
        <f>IF(ISBLANK(A1289),"",VLOOKUP(A1289,RELACIONES!$G$3:$H$65,2,FALSE()))</f>
        <v/>
      </c>
      <c r="J1289" s="35" t="str">
        <f>IF(ISBLANK(A1289),"",VLOOKUP(C1289,RELACIONES!$A$3:$B$70,2,FALSE))</f>
        <v/>
      </c>
      <c r="K1289" s="35" t="str">
        <f>IF(ISBLANK(A1289),"",VLOOKUP(J1289,RELACIONES!$B$3:$E$83,4,FALSE)*E1289)</f>
        <v/>
      </c>
    </row>
    <row r="1290" ht="15.75" customHeight="1">
      <c r="A1290" s="50"/>
      <c r="B1290" s="50"/>
      <c r="C1290" s="50"/>
      <c r="D1290" s="50"/>
      <c r="E1290" s="50"/>
      <c r="F1290" s="50"/>
      <c r="G1290" s="50"/>
      <c r="H1290" s="50"/>
      <c r="I1290" s="34" t="str">
        <f>IF(ISBLANK(A1290),"",VLOOKUP(A1290,RELACIONES!$G$3:$H$65,2,FALSE()))</f>
        <v/>
      </c>
      <c r="J1290" s="35" t="str">
        <f>IF(ISBLANK(A1290),"",VLOOKUP(C1290,RELACIONES!$A$3:$B$70,2,FALSE))</f>
        <v/>
      </c>
      <c r="K1290" s="35" t="str">
        <f>IF(ISBLANK(A1290),"",VLOOKUP(J1290,RELACIONES!$B$3:$E$83,4,FALSE)*E1290)</f>
        <v/>
      </c>
    </row>
    <row r="1291" ht="15.75" customHeight="1">
      <c r="A1291" s="50"/>
      <c r="B1291" s="50"/>
      <c r="C1291" s="50"/>
      <c r="D1291" s="50"/>
      <c r="E1291" s="50"/>
      <c r="F1291" s="50"/>
      <c r="G1291" s="50"/>
      <c r="H1291" s="50"/>
      <c r="I1291" s="34" t="str">
        <f>IF(ISBLANK(A1291),"",VLOOKUP(A1291,RELACIONES!$G$3:$H$65,2,FALSE()))</f>
        <v/>
      </c>
      <c r="J1291" s="35" t="str">
        <f>IF(ISBLANK(A1291),"",VLOOKUP(C1291,RELACIONES!$A$3:$B$70,2,FALSE))</f>
        <v/>
      </c>
      <c r="K1291" s="35" t="str">
        <f>IF(ISBLANK(A1291),"",VLOOKUP(J1291,RELACIONES!$B$3:$E$83,4,FALSE)*E1291)</f>
        <v/>
      </c>
    </row>
    <row r="1292" ht="15.75" customHeight="1">
      <c r="A1292" s="50"/>
      <c r="B1292" s="50"/>
      <c r="C1292" s="50"/>
      <c r="D1292" s="50"/>
      <c r="E1292" s="50"/>
      <c r="F1292" s="50"/>
      <c r="G1292" s="50"/>
      <c r="H1292" s="50"/>
      <c r="I1292" s="34" t="str">
        <f>IF(ISBLANK(A1292),"",VLOOKUP(A1292,RELACIONES!$G$3:$H$65,2,FALSE()))</f>
        <v/>
      </c>
      <c r="J1292" s="35" t="str">
        <f>IF(ISBLANK(A1292),"",VLOOKUP(C1292,RELACIONES!$A$3:$B$70,2,FALSE))</f>
        <v/>
      </c>
      <c r="K1292" s="35" t="str">
        <f>IF(ISBLANK(A1292),"",VLOOKUP(J1292,RELACIONES!$B$3:$E$83,4,FALSE)*E1292)</f>
        <v/>
      </c>
    </row>
    <row r="1293" ht="15.75" customHeight="1">
      <c r="A1293" s="50"/>
      <c r="B1293" s="50"/>
      <c r="C1293" s="50"/>
      <c r="D1293" s="50"/>
      <c r="E1293" s="50"/>
      <c r="F1293" s="50"/>
      <c r="G1293" s="50"/>
      <c r="H1293" s="50"/>
      <c r="I1293" s="34" t="str">
        <f>IF(ISBLANK(A1293),"",VLOOKUP(A1293,RELACIONES!$G$3:$H$65,2,FALSE()))</f>
        <v/>
      </c>
      <c r="J1293" s="35" t="str">
        <f>IF(ISBLANK(A1293),"",VLOOKUP(C1293,RELACIONES!$A$3:$B$70,2,FALSE))</f>
        <v/>
      </c>
      <c r="K1293" s="35" t="str">
        <f>IF(ISBLANK(A1293),"",VLOOKUP(J1293,RELACIONES!$B$3:$E$83,4,FALSE)*E1293)</f>
        <v/>
      </c>
    </row>
    <row r="1294" ht="15.75" customHeight="1">
      <c r="A1294" s="50"/>
      <c r="B1294" s="50"/>
      <c r="C1294" s="50"/>
      <c r="D1294" s="50"/>
      <c r="E1294" s="50"/>
      <c r="F1294" s="50"/>
      <c r="G1294" s="50"/>
      <c r="H1294" s="50"/>
      <c r="I1294" s="34" t="str">
        <f>IF(ISBLANK(A1294),"",VLOOKUP(A1294,RELACIONES!$G$3:$H$65,2,FALSE()))</f>
        <v/>
      </c>
      <c r="J1294" s="35" t="str">
        <f>IF(ISBLANK(A1294),"",VLOOKUP(C1294,RELACIONES!$A$3:$B$70,2,FALSE))</f>
        <v/>
      </c>
      <c r="K1294" s="35" t="str">
        <f>IF(ISBLANK(A1294),"",VLOOKUP(J1294,RELACIONES!$B$3:$E$83,4,FALSE)*E1294)</f>
        <v/>
      </c>
    </row>
    <row r="1295" ht="15.75" customHeight="1">
      <c r="A1295" s="50"/>
      <c r="B1295" s="50"/>
      <c r="C1295" s="50"/>
      <c r="D1295" s="50"/>
      <c r="E1295" s="50"/>
      <c r="F1295" s="50"/>
      <c r="G1295" s="50"/>
      <c r="H1295" s="50"/>
      <c r="I1295" s="34" t="str">
        <f>IF(ISBLANK(A1295),"",VLOOKUP(A1295,RELACIONES!$G$3:$H$65,2,FALSE()))</f>
        <v/>
      </c>
      <c r="J1295" s="35" t="str">
        <f>IF(ISBLANK(A1295),"",VLOOKUP(C1295,RELACIONES!$A$3:$B$70,2,FALSE))</f>
        <v/>
      </c>
      <c r="K1295" s="35" t="str">
        <f>IF(ISBLANK(A1295),"",VLOOKUP(J1295,RELACIONES!$B$3:$E$83,4,FALSE)*E1295)</f>
        <v/>
      </c>
    </row>
    <row r="1296" ht="15.75" customHeight="1">
      <c r="A1296" s="50"/>
      <c r="B1296" s="50"/>
      <c r="C1296" s="50"/>
      <c r="D1296" s="50"/>
      <c r="E1296" s="50"/>
      <c r="F1296" s="50"/>
      <c r="G1296" s="50"/>
      <c r="H1296" s="50"/>
      <c r="I1296" s="34" t="str">
        <f>IF(ISBLANK(A1296),"",VLOOKUP(A1296,RELACIONES!$G$3:$H$65,2,FALSE()))</f>
        <v/>
      </c>
      <c r="J1296" s="35" t="str">
        <f>IF(ISBLANK(A1296),"",VLOOKUP(C1296,RELACIONES!$A$3:$B$70,2,FALSE))</f>
        <v/>
      </c>
      <c r="K1296" s="35" t="str">
        <f>IF(ISBLANK(A1296),"",VLOOKUP(J1296,RELACIONES!$B$3:$E$83,4,FALSE)*E1296)</f>
        <v/>
      </c>
    </row>
    <row r="1297" ht="15.75" customHeight="1">
      <c r="A1297" s="50"/>
      <c r="B1297" s="50"/>
      <c r="C1297" s="50"/>
      <c r="D1297" s="50"/>
      <c r="E1297" s="50"/>
      <c r="F1297" s="50"/>
      <c r="G1297" s="50"/>
      <c r="H1297" s="50"/>
      <c r="I1297" s="34" t="str">
        <f>IF(ISBLANK(A1297),"",VLOOKUP(A1297,RELACIONES!$G$3:$H$65,2,FALSE()))</f>
        <v/>
      </c>
      <c r="J1297" s="35" t="str">
        <f>IF(ISBLANK(A1297),"",VLOOKUP(C1297,RELACIONES!$A$3:$B$70,2,FALSE))</f>
        <v/>
      </c>
      <c r="K1297" s="35" t="str">
        <f>IF(ISBLANK(A1297),"",VLOOKUP(J1297,RELACIONES!$B$3:$E$83,4,FALSE)*E1297)</f>
        <v/>
      </c>
    </row>
    <row r="1298" ht="15.75" customHeight="1">
      <c r="A1298" s="50"/>
      <c r="B1298" s="50"/>
      <c r="C1298" s="50"/>
      <c r="D1298" s="50"/>
      <c r="E1298" s="50"/>
      <c r="F1298" s="50"/>
      <c r="G1298" s="50"/>
      <c r="H1298" s="50"/>
      <c r="I1298" s="34" t="str">
        <f>IF(ISBLANK(A1298),"",VLOOKUP(A1298,RELACIONES!$G$3:$H$65,2,FALSE()))</f>
        <v/>
      </c>
      <c r="J1298" s="35" t="str">
        <f>IF(ISBLANK(A1298),"",VLOOKUP(C1298,RELACIONES!$A$3:$B$70,2,FALSE))</f>
        <v/>
      </c>
      <c r="K1298" s="35" t="str">
        <f>IF(ISBLANK(A1298),"",VLOOKUP(J1298,RELACIONES!$B$3:$E$83,4,FALSE)*E1298)</f>
        <v/>
      </c>
    </row>
    <row r="1299" ht="15.75" customHeight="1">
      <c r="A1299" s="50"/>
      <c r="B1299" s="50"/>
      <c r="C1299" s="50"/>
      <c r="D1299" s="50"/>
      <c r="E1299" s="50"/>
      <c r="F1299" s="50"/>
      <c r="G1299" s="50"/>
      <c r="H1299" s="50"/>
      <c r="I1299" s="34" t="str">
        <f>IF(ISBLANK(A1299),"",VLOOKUP(A1299,RELACIONES!$G$3:$H$65,2,FALSE()))</f>
        <v/>
      </c>
      <c r="J1299" s="35" t="str">
        <f>IF(ISBLANK(A1299),"",VLOOKUP(C1299,RELACIONES!$A$3:$B$70,2,FALSE))</f>
        <v/>
      </c>
      <c r="K1299" s="35" t="str">
        <f>IF(ISBLANK(A1299),"",VLOOKUP(J1299,RELACIONES!$B$3:$E$83,4,FALSE)*E1299)</f>
        <v/>
      </c>
    </row>
    <row r="1300" ht="15.75" customHeight="1">
      <c r="A1300" s="50"/>
      <c r="B1300" s="50"/>
      <c r="C1300" s="50"/>
      <c r="D1300" s="50"/>
      <c r="E1300" s="50"/>
      <c r="F1300" s="50"/>
      <c r="G1300" s="50"/>
      <c r="H1300" s="50"/>
      <c r="I1300" s="34" t="str">
        <f>IF(ISBLANK(A1300),"",VLOOKUP(A1300,RELACIONES!$G$3:$H$65,2,FALSE()))</f>
        <v/>
      </c>
      <c r="J1300" s="35" t="str">
        <f>IF(ISBLANK(A1300),"",VLOOKUP(C1300,RELACIONES!$A$3:$B$70,2,FALSE))</f>
        <v/>
      </c>
      <c r="K1300" s="35" t="str">
        <f>IF(ISBLANK(A1300),"",VLOOKUP(J1300,RELACIONES!$B$3:$E$83,4,FALSE)*E1300)</f>
        <v/>
      </c>
    </row>
    <row r="1301" ht="15.75" customHeight="1">
      <c r="A1301" s="50"/>
      <c r="B1301" s="50"/>
      <c r="C1301" s="50"/>
      <c r="D1301" s="50"/>
      <c r="E1301" s="50"/>
      <c r="F1301" s="50"/>
      <c r="G1301" s="50"/>
      <c r="H1301" s="50"/>
      <c r="I1301" s="34" t="str">
        <f>IF(ISBLANK(A1301),"",VLOOKUP(A1301,RELACIONES!$G$3:$H$65,2,FALSE()))</f>
        <v/>
      </c>
      <c r="J1301" s="35" t="str">
        <f>IF(ISBLANK(A1301),"",VLOOKUP(C1301,RELACIONES!$A$3:$B$70,2,FALSE))</f>
        <v/>
      </c>
      <c r="K1301" s="35" t="str">
        <f>IF(ISBLANK(A1301),"",VLOOKUP(J1301,RELACIONES!$B$3:$E$83,4,FALSE)*E1301)</f>
        <v/>
      </c>
    </row>
    <row r="1302" ht="15.75" customHeight="1">
      <c r="A1302" s="50"/>
      <c r="B1302" s="50"/>
      <c r="C1302" s="50"/>
      <c r="D1302" s="50"/>
      <c r="E1302" s="50"/>
      <c r="F1302" s="50"/>
      <c r="G1302" s="50"/>
      <c r="H1302" s="50"/>
      <c r="I1302" s="34" t="str">
        <f>IF(ISBLANK(A1302),"",VLOOKUP(A1302,RELACIONES!$G$3:$H$65,2,FALSE()))</f>
        <v/>
      </c>
      <c r="J1302" s="35" t="str">
        <f>IF(ISBLANK(A1302),"",VLOOKUP(C1302,RELACIONES!$A$3:$B$70,2,FALSE))</f>
        <v/>
      </c>
      <c r="K1302" s="35" t="str">
        <f>IF(ISBLANK(A1302),"",VLOOKUP(J1302,RELACIONES!$B$3:$E$83,4,FALSE)*E1302)</f>
        <v/>
      </c>
    </row>
    <row r="1303" ht="15.75" customHeight="1">
      <c r="A1303" s="50"/>
      <c r="B1303" s="50"/>
      <c r="C1303" s="50"/>
      <c r="D1303" s="50"/>
      <c r="E1303" s="50"/>
      <c r="F1303" s="50"/>
      <c r="G1303" s="50"/>
      <c r="H1303" s="50"/>
      <c r="I1303" s="34" t="str">
        <f>IF(ISBLANK(A1303),"",VLOOKUP(A1303,RELACIONES!$G$3:$H$65,2,FALSE()))</f>
        <v/>
      </c>
      <c r="J1303" s="35" t="str">
        <f>IF(ISBLANK(A1303),"",VLOOKUP(C1303,RELACIONES!$A$3:$B$70,2,FALSE))</f>
        <v/>
      </c>
      <c r="K1303" s="35" t="str">
        <f>IF(ISBLANK(A1303),"",VLOOKUP(J1303,RELACIONES!$B$3:$E$83,4,FALSE)*E1303)</f>
        <v/>
      </c>
    </row>
    <row r="1304" ht="15.75" customHeight="1">
      <c r="A1304" s="50"/>
      <c r="B1304" s="50"/>
      <c r="C1304" s="50"/>
      <c r="D1304" s="50"/>
      <c r="E1304" s="50"/>
      <c r="F1304" s="50"/>
      <c r="G1304" s="50"/>
      <c r="H1304" s="50"/>
      <c r="I1304" s="34" t="str">
        <f>IF(ISBLANK(A1304),"",VLOOKUP(A1304,RELACIONES!$G$3:$H$65,2,FALSE()))</f>
        <v/>
      </c>
      <c r="J1304" s="35" t="str">
        <f>IF(ISBLANK(A1304),"",VLOOKUP(C1304,RELACIONES!$A$3:$B$70,2,FALSE))</f>
        <v/>
      </c>
      <c r="K1304" s="35" t="str">
        <f>IF(ISBLANK(A1304),"",VLOOKUP(J1304,RELACIONES!$B$3:$E$83,4,FALSE)*E1304)</f>
        <v/>
      </c>
    </row>
    <row r="1305" ht="15.75" customHeight="1">
      <c r="A1305" s="50"/>
      <c r="B1305" s="50"/>
      <c r="C1305" s="50"/>
      <c r="D1305" s="50"/>
      <c r="E1305" s="50"/>
      <c r="F1305" s="50"/>
      <c r="G1305" s="50"/>
      <c r="H1305" s="50"/>
      <c r="I1305" s="34" t="str">
        <f>IF(ISBLANK(A1305),"",VLOOKUP(A1305,RELACIONES!$G$3:$H$65,2,FALSE()))</f>
        <v/>
      </c>
      <c r="J1305" s="35" t="str">
        <f>IF(ISBLANK(A1305),"",VLOOKUP(C1305,RELACIONES!$A$3:$B$70,2,FALSE))</f>
        <v/>
      </c>
      <c r="K1305" s="35" t="str">
        <f>IF(ISBLANK(A1305),"",VLOOKUP(J1305,RELACIONES!$B$3:$E$83,4,FALSE)*E1305)</f>
        <v/>
      </c>
    </row>
    <row r="1306" ht="15.75" customHeight="1">
      <c r="A1306" s="50"/>
      <c r="B1306" s="50"/>
      <c r="C1306" s="50"/>
      <c r="D1306" s="50"/>
      <c r="E1306" s="50"/>
      <c r="F1306" s="50"/>
      <c r="G1306" s="50"/>
      <c r="H1306" s="50"/>
      <c r="I1306" s="34" t="str">
        <f>IF(ISBLANK(A1306),"",VLOOKUP(A1306,RELACIONES!$G$3:$H$65,2,FALSE()))</f>
        <v/>
      </c>
      <c r="J1306" s="35" t="str">
        <f>IF(ISBLANK(A1306),"",VLOOKUP(C1306,RELACIONES!$A$3:$B$70,2,FALSE))</f>
        <v/>
      </c>
      <c r="K1306" s="35" t="str">
        <f>IF(ISBLANK(A1306),"",VLOOKUP(J1306,RELACIONES!$B$3:$E$83,4,FALSE)*E1306)</f>
        <v/>
      </c>
    </row>
    <row r="1307" ht="15.75" customHeight="1">
      <c r="A1307" s="50"/>
      <c r="B1307" s="50"/>
      <c r="C1307" s="50"/>
      <c r="D1307" s="50"/>
      <c r="E1307" s="50"/>
      <c r="F1307" s="50"/>
      <c r="G1307" s="50"/>
      <c r="H1307" s="50"/>
      <c r="I1307" s="34" t="str">
        <f>IF(ISBLANK(A1307),"",VLOOKUP(A1307,RELACIONES!$G$3:$H$65,2,FALSE()))</f>
        <v/>
      </c>
      <c r="J1307" s="35" t="str">
        <f>IF(ISBLANK(A1307),"",VLOOKUP(C1307,RELACIONES!$A$3:$B$70,2,FALSE))</f>
        <v/>
      </c>
      <c r="K1307" s="35" t="str">
        <f>IF(ISBLANK(A1307),"",VLOOKUP(J1307,RELACIONES!$B$3:$E$83,4,FALSE)*E1307)</f>
        <v/>
      </c>
    </row>
    <row r="1308" ht="15.75" customHeight="1">
      <c r="A1308" s="50"/>
      <c r="B1308" s="50"/>
      <c r="C1308" s="50"/>
      <c r="D1308" s="50"/>
      <c r="E1308" s="50"/>
      <c r="F1308" s="50"/>
      <c r="G1308" s="50"/>
      <c r="H1308" s="50"/>
      <c r="I1308" s="34" t="str">
        <f>IF(ISBLANK(A1308),"",VLOOKUP(A1308,RELACIONES!$G$3:$H$65,2,FALSE()))</f>
        <v/>
      </c>
      <c r="J1308" s="35" t="str">
        <f>IF(ISBLANK(A1308),"",VLOOKUP(C1308,RELACIONES!$A$3:$B$70,2,FALSE))</f>
        <v/>
      </c>
      <c r="K1308" s="35" t="str">
        <f>IF(ISBLANK(A1308),"",VLOOKUP(J1308,RELACIONES!$B$3:$E$83,4,FALSE)*E1308)</f>
        <v/>
      </c>
    </row>
    <row r="1309" ht="15.75" customHeight="1">
      <c r="A1309" s="50"/>
      <c r="B1309" s="50"/>
      <c r="C1309" s="50"/>
      <c r="D1309" s="50"/>
      <c r="E1309" s="50"/>
      <c r="F1309" s="50"/>
      <c r="G1309" s="50"/>
      <c r="H1309" s="50"/>
      <c r="I1309" s="34" t="str">
        <f>IF(ISBLANK(A1309),"",VLOOKUP(A1309,RELACIONES!$G$3:$H$65,2,FALSE()))</f>
        <v/>
      </c>
      <c r="J1309" s="35" t="str">
        <f>IF(ISBLANK(A1309),"",VLOOKUP(C1309,RELACIONES!$A$3:$B$70,2,FALSE))</f>
        <v/>
      </c>
      <c r="K1309" s="35" t="str">
        <f>IF(ISBLANK(A1309),"",VLOOKUP(J1309,RELACIONES!$B$3:$E$83,4,FALSE)*E1309)</f>
        <v/>
      </c>
    </row>
    <row r="1310" ht="15.75" customHeight="1">
      <c r="A1310" s="50"/>
      <c r="B1310" s="50"/>
      <c r="C1310" s="50"/>
      <c r="D1310" s="50"/>
      <c r="E1310" s="50"/>
      <c r="F1310" s="50"/>
      <c r="G1310" s="50"/>
      <c r="H1310" s="50"/>
      <c r="I1310" s="34" t="str">
        <f>IF(ISBLANK(A1310),"",VLOOKUP(A1310,RELACIONES!$G$3:$H$65,2,FALSE()))</f>
        <v/>
      </c>
      <c r="J1310" s="35" t="str">
        <f>IF(ISBLANK(A1310),"",VLOOKUP(C1310,RELACIONES!$A$3:$B$70,2,FALSE))</f>
        <v/>
      </c>
      <c r="K1310" s="35" t="str">
        <f>IF(ISBLANK(A1310),"",VLOOKUP(J1310,RELACIONES!$B$3:$E$83,4,FALSE)*E1310)</f>
        <v/>
      </c>
    </row>
    <row r="1311" ht="15.75" customHeight="1">
      <c r="A1311" s="50"/>
      <c r="B1311" s="50"/>
      <c r="C1311" s="50"/>
      <c r="D1311" s="50"/>
      <c r="E1311" s="50"/>
      <c r="F1311" s="50"/>
      <c r="G1311" s="50"/>
      <c r="H1311" s="50"/>
      <c r="I1311" s="34" t="str">
        <f>IF(ISBLANK(A1311),"",VLOOKUP(A1311,RELACIONES!$G$3:$H$65,2,FALSE()))</f>
        <v/>
      </c>
      <c r="J1311" s="35" t="str">
        <f>IF(ISBLANK(A1311),"",VLOOKUP(C1311,RELACIONES!$A$3:$B$70,2,FALSE))</f>
        <v/>
      </c>
      <c r="K1311" s="35" t="str">
        <f>IF(ISBLANK(A1311),"",VLOOKUP(J1311,RELACIONES!$B$3:$E$83,4,FALSE)*E1311)</f>
        <v/>
      </c>
    </row>
    <row r="1312" ht="15.75" customHeight="1">
      <c r="A1312" s="50"/>
      <c r="B1312" s="50"/>
      <c r="C1312" s="50"/>
      <c r="D1312" s="50"/>
      <c r="E1312" s="50"/>
      <c r="F1312" s="50"/>
      <c r="G1312" s="50"/>
      <c r="H1312" s="50"/>
      <c r="I1312" s="34" t="str">
        <f>IF(ISBLANK(A1312),"",VLOOKUP(A1312,RELACIONES!$G$3:$H$65,2,FALSE()))</f>
        <v/>
      </c>
      <c r="J1312" s="35" t="str">
        <f>IF(ISBLANK(A1312),"",VLOOKUP(C1312,RELACIONES!$A$3:$B$70,2,FALSE))</f>
        <v/>
      </c>
      <c r="K1312" s="35" t="str">
        <f>IF(ISBLANK(A1312),"",VLOOKUP(J1312,RELACIONES!$B$3:$E$83,4,FALSE)*E1312)</f>
        <v/>
      </c>
    </row>
    <row r="1313" ht="15.75" customHeight="1">
      <c r="A1313" s="50"/>
      <c r="B1313" s="50"/>
      <c r="C1313" s="50"/>
      <c r="D1313" s="50"/>
      <c r="E1313" s="50"/>
      <c r="F1313" s="50"/>
      <c r="G1313" s="50"/>
      <c r="H1313" s="50"/>
      <c r="I1313" s="34" t="str">
        <f>IF(ISBLANK(A1313),"",VLOOKUP(A1313,RELACIONES!$G$3:$H$65,2,FALSE()))</f>
        <v/>
      </c>
      <c r="J1313" s="35" t="str">
        <f>IF(ISBLANK(A1313),"",VLOOKUP(C1313,RELACIONES!$A$3:$B$70,2,FALSE))</f>
        <v/>
      </c>
      <c r="K1313" s="35" t="str">
        <f>IF(ISBLANK(A1313),"",VLOOKUP(J1313,RELACIONES!$B$3:$E$83,4,FALSE)*E1313)</f>
        <v/>
      </c>
    </row>
    <row r="1314" ht="15.75" customHeight="1">
      <c r="A1314" s="50"/>
      <c r="B1314" s="50"/>
      <c r="C1314" s="50"/>
      <c r="D1314" s="50"/>
      <c r="E1314" s="50"/>
      <c r="F1314" s="50"/>
      <c r="G1314" s="50"/>
      <c r="H1314" s="50"/>
      <c r="I1314" s="34" t="str">
        <f>IF(ISBLANK(A1314),"",VLOOKUP(A1314,RELACIONES!$G$3:$H$65,2,FALSE()))</f>
        <v/>
      </c>
      <c r="J1314" s="35" t="str">
        <f>IF(ISBLANK(A1314),"",VLOOKUP(C1314,RELACIONES!$A$3:$B$70,2,FALSE))</f>
        <v/>
      </c>
      <c r="K1314" s="35" t="str">
        <f>IF(ISBLANK(A1314),"",VLOOKUP(J1314,RELACIONES!$B$3:$E$83,4,FALSE)*E1314)</f>
        <v/>
      </c>
    </row>
    <row r="1315" ht="15.75" customHeight="1">
      <c r="A1315" s="50"/>
      <c r="B1315" s="50"/>
      <c r="C1315" s="50"/>
      <c r="D1315" s="50"/>
      <c r="E1315" s="50"/>
      <c r="F1315" s="50"/>
      <c r="G1315" s="50"/>
      <c r="H1315" s="50"/>
      <c r="I1315" s="34" t="str">
        <f>IF(ISBLANK(A1315),"",VLOOKUP(A1315,RELACIONES!$G$3:$H$65,2,FALSE()))</f>
        <v/>
      </c>
      <c r="J1315" s="35" t="str">
        <f>IF(ISBLANK(A1315),"",VLOOKUP(C1315,RELACIONES!$A$3:$B$70,2,FALSE))</f>
        <v/>
      </c>
      <c r="K1315" s="35" t="str">
        <f>IF(ISBLANK(A1315),"",VLOOKUP(J1315,RELACIONES!$B$3:$E$83,4,FALSE)*E1315)</f>
        <v/>
      </c>
    </row>
    <row r="1316" ht="15.75" customHeight="1">
      <c r="A1316" s="50"/>
      <c r="B1316" s="50"/>
      <c r="C1316" s="50"/>
      <c r="D1316" s="50"/>
      <c r="E1316" s="50"/>
      <c r="F1316" s="50"/>
      <c r="G1316" s="50"/>
      <c r="H1316" s="50"/>
      <c r="I1316" s="34" t="str">
        <f>IF(ISBLANK(A1316),"",VLOOKUP(A1316,RELACIONES!$G$3:$H$65,2,FALSE()))</f>
        <v/>
      </c>
      <c r="J1316" s="35" t="str">
        <f>IF(ISBLANK(A1316),"",VLOOKUP(C1316,RELACIONES!$A$3:$B$70,2,FALSE))</f>
        <v/>
      </c>
      <c r="K1316" s="35" t="str">
        <f>IF(ISBLANK(A1316),"",VLOOKUP(J1316,RELACIONES!$B$3:$E$83,4,FALSE)*E1316)</f>
        <v/>
      </c>
    </row>
    <row r="1317" ht="15.75" customHeight="1">
      <c r="A1317" s="50"/>
      <c r="B1317" s="50"/>
      <c r="C1317" s="50"/>
      <c r="D1317" s="50"/>
      <c r="E1317" s="50"/>
      <c r="F1317" s="50"/>
      <c r="G1317" s="50"/>
      <c r="H1317" s="50"/>
      <c r="I1317" s="34" t="str">
        <f>IF(ISBLANK(A1317),"",VLOOKUP(A1317,RELACIONES!$G$3:$H$65,2,FALSE()))</f>
        <v/>
      </c>
      <c r="J1317" s="35" t="str">
        <f>IF(ISBLANK(A1317),"",VLOOKUP(C1317,RELACIONES!$A$3:$B$70,2,FALSE))</f>
        <v/>
      </c>
      <c r="K1317" s="35" t="str">
        <f>IF(ISBLANK(A1317),"",VLOOKUP(J1317,RELACIONES!$B$3:$E$83,4,FALSE)*E1317)</f>
        <v/>
      </c>
    </row>
    <row r="1318" ht="15.75" customHeight="1">
      <c r="A1318" s="50"/>
      <c r="B1318" s="50"/>
      <c r="C1318" s="50"/>
      <c r="D1318" s="50"/>
      <c r="E1318" s="50"/>
      <c r="F1318" s="50"/>
      <c r="G1318" s="50"/>
      <c r="H1318" s="50"/>
      <c r="I1318" s="34" t="str">
        <f>IF(ISBLANK(A1318),"",VLOOKUP(A1318,RELACIONES!$G$3:$H$65,2,FALSE()))</f>
        <v/>
      </c>
      <c r="J1318" s="35" t="str">
        <f>IF(ISBLANK(A1318),"",VLOOKUP(C1318,RELACIONES!$A$3:$B$70,2,FALSE))</f>
        <v/>
      </c>
      <c r="K1318" s="35" t="str">
        <f>IF(ISBLANK(A1318),"",VLOOKUP(J1318,RELACIONES!$B$3:$E$83,4,FALSE)*E1318)</f>
        <v/>
      </c>
    </row>
    <row r="1319" ht="15.75" customHeight="1">
      <c r="A1319" s="50"/>
      <c r="B1319" s="50"/>
      <c r="C1319" s="50"/>
      <c r="D1319" s="50"/>
      <c r="E1319" s="50"/>
      <c r="F1319" s="50"/>
      <c r="G1319" s="50"/>
      <c r="H1319" s="50"/>
      <c r="I1319" s="34" t="str">
        <f>IF(ISBLANK(A1319),"",VLOOKUP(A1319,RELACIONES!$G$3:$H$65,2,FALSE()))</f>
        <v/>
      </c>
      <c r="J1319" s="35" t="str">
        <f>IF(ISBLANK(A1319),"",VLOOKUP(C1319,RELACIONES!$A$3:$B$70,2,FALSE))</f>
        <v/>
      </c>
      <c r="K1319" s="35" t="str">
        <f>IF(ISBLANK(A1319),"",VLOOKUP(J1319,RELACIONES!$B$3:$E$83,4,FALSE)*E1319)</f>
        <v/>
      </c>
    </row>
    <row r="1320" ht="15.75" customHeight="1">
      <c r="A1320" s="50"/>
      <c r="B1320" s="50"/>
      <c r="C1320" s="50"/>
      <c r="D1320" s="50"/>
      <c r="E1320" s="50"/>
      <c r="F1320" s="50"/>
      <c r="G1320" s="50"/>
      <c r="H1320" s="50"/>
      <c r="I1320" s="34" t="str">
        <f>IF(ISBLANK(A1320),"",VLOOKUP(A1320,RELACIONES!$G$3:$H$65,2,FALSE()))</f>
        <v/>
      </c>
      <c r="J1320" s="35" t="str">
        <f>IF(ISBLANK(A1320),"",VLOOKUP(C1320,RELACIONES!$A$3:$B$70,2,FALSE))</f>
        <v/>
      </c>
      <c r="K1320" s="35" t="str">
        <f>IF(ISBLANK(A1320),"",VLOOKUP(J1320,RELACIONES!$B$3:$E$83,4,FALSE)*E1320)</f>
        <v/>
      </c>
    </row>
    <row r="1321" ht="15.75" customHeight="1">
      <c r="A1321" s="50"/>
      <c r="B1321" s="50"/>
      <c r="C1321" s="50"/>
      <c r="D1321" s="50"/>
      <c r="E1321" s="50"/>
      <c r="F1321" s="50"/>
      <c r="G1321" s="50"/>
      <c r="H1321" s="50"/>
      <c r="I1321" s="34" t="str">
        <f>IF(ISBLANK(A1321),"",VLOOKUP(A1321,RELACIONES!$G$3:$H$65,2,FALSE()))</f>
        <v/>
      </c>
      <c r="J1321" s="35" t="str">
        <f>IF(ISBLANK(A1321),"",VLOOKUP(C1321,RELACIONES!$A$3:$B$70,2,FALSE))</f>
        <v/>
      </c>
      <c r="K1321" s="35" t="str">
        <f>IF(ISBLANK(A1321),"",VLOOKUP(J1321,RELACIONES!$B$3:$E$83,4,FALSE)*E1321)</f>
        <v/>
      </c>
    </row>
    <row r="1322" ht="15.75" customHeight="1">
      <c r="A1322" s="50"/>
      <c r="B1322" s="50"/>
      <c r="C1322" s="50"/>
      <c r="D1322" s="50"/>
      <c r="E1322" s="50"/>
      <c r="F1322" s="50"/>
      <c r="G1322" s="50"/>
      <c r="H1322" s="50"/>
      <c r="I1322" s="34" t="str">
        <f>IF(ISBLANK(A1322),"",VLOOKUP(A1322,RELACIONES!$G$3:$H$65,2,FALSE()))</f>
        <v/>
      </c>
      <c r="J1322" s="35" t="str">
        <f>IF(ISBLANK(A1322),"",VLOOKUP(C1322,RELACIONES!$A$3:$B$70,2,FALSE))</f>
        <v/>
      </c>
      <c r="K1322" s="35" t="str">
        <f>IF(ISBLANK(A1322),"",VLOOKUP(J1322,RELACIONES!$B$3:$E$83,4,FALSE)*E1322)</f>
        <v/>
      </c>
    </row>
    <row r="1323" ht="15.75" customHeight="1">
      <c r="A1323" s="50"/>
      <c r="B1323" s="50"/>
      <c r="C1323" s="50"/>
      <c r="D1323" s="50"/>
      <c r="E1323" s="50"/>
      <c r="F1323" s="50"/>
      <c r="G1323" s="50"/>
      <c r="H1323" s="50"/>
      <c r="I1323" s="34" t="str">
        <f>IF(ISBLANK(A1323),"",VLOOKUP(A1323,RELACIONES!$G$3:$H$65,2,FALSE()))</f>
        <v/>
      </c>
      <c r="J1323" s="35" t="str">
        <f>IF(ISBLANK(A1323),"",VLOOKUP(C1323,RELACIONES!$A$3:$B$70,2,FALSE))</f>
        <v/>
      </c>
      <c r="K1323" s="35" t="str">
        <f>IF(ISBLANK(A1323),"",VLOOKUP(J1323,RELACIONES!$B$3:$E$83,4,FALSE)*E1323)</f>
        <v/>
      </c>
    </row>
    <row r="1324" ht="15.75" customHeight="1">
      <c r="A1324" s="50"/>
      <c r="B1324" s="50"/>
      <c r="C1324" s="50"/>
      <c r="D1324" s="50"/>
      <c r="E1324" s="50"/>
      <c r="F1324" s="50"/>
      <c r="G1324" s="50"/>
      <c r="H1324" s="50"/>
      <c r="I1324" s="34" t="str">
        <f>IF(ISBLANK(A1324),"",VLOOKUP(A1324,RELACIONES!$G$3:$H$65,2,FALSE()))</f>
        <v/>
      </c>
      <c r="J1324" s="35" t="str">
        <f>IF(ISBLANK(A1324),"",VLOOKUP(C1324,RELACIONES!$A$3:$B$70,2,FALSE))</f>
        <v/>
      </c>
      <c r="K1324" s="35" t="str">
        <f>IF(ISBLANK(A1324),"",VLOOKUP(J1324,RELACIONES!$B$3:$E$83,4,FALSE)*E1324)</f>
        <v/>
      </c>
    </row>
    <row r="1325" ht="15.75" customHeight="1">
      <c r="A1325" s="50"/>
      <c r="B1325" s="50"/>
      <c r="C1325" s="50"/>
      <c r="D1325" s="50"/>
      <c r="E1325" s="50"/>
      <c r="F1325" s="50"/>
      <c r="G1325" s="50"/>
      <c r="H1325" s="50"/>
      <c r="I1325" s="34" t="str">
        <f>IF(ISBLANK(A1325),"",VLOOKUP(A1325,RELACIONES!$G$3:$H$65,2,FALSE()))</f>
        <v/>
      </c>
      <c r="J1325" s="35" t="str">
        <f>IF(ISBLANK(A1325),"",VLOOKUP(C1325,RELACIONES!$A$3:$B$70,2,FALSE))</f>
        <v/>
      </c>
      <c r="K1325" s="35" t="str">
        <f>IF(ISBLANK(A1325),"",VLOOKUP(J1325,RELACIONES!$B$3:$E$83,4,FALSE)*E1325)</f>
        <v/>
      </c>
    </row>
    <row r="1326" ht="15.75" customHeight="1">
      <c r="A1326" s="50"/>
      <c r="B1326" s="50"/>
      <c r="C1326" s="50"/>
      <c r="D1326" s="50"/>
      <c r="E1326" s="50"/>
      <c r="F1326" s="50"/>
      <c r="G1326" s="50"/>
      <c r="H1326" s="50"/>
      <c r="I1326" s="34" t="str">
        <f>IF(ISBLANK(A1326),"",VLOOKUP(A1326,RELACIONES!$G$3:$H$65,2,FALSE()))</f>
        <v/>
      </c>
      <c r="J1326" s="35" t="str">
        <f>IF(ISBLANK(A1326),"",VLOOKUP(C1326,RELACIONES!$A$3:$B$70,2,FALSE))</f>
        <v/>
      </c>
      <c r="K1326" s="35" t="str">
        <f>IF(ISBLANK(A1326),"",VLOOKUP(J1326,RELACIONES!$B$3:$E$83,4,FALSE)*E1326)</f>
        <v/>
      </c>
    </row>
    <row r="1327" ht="15.75" customHeight="1">
      <c r="A1327" s="50"/>
      <c r="B1327" s="50"/>
      <c r="C1327" s="50"/>
      <c r="D1327" s="50"/>
      <c r="E1327" s="50"/>
      <c r="F1327" s="50"/>
      <c r="G1327" s="50"/>
      <c r="H1327" s="50"/>
      <c r="I1327" s="34" t="str">
        <f>IF(ISBLANK(A1327),"",VLOOKUP(A1327,RELACIONES!$G$3:$H$65,2,FALSE()))</f>
        <v/>
      </c>
      <c r="J1327" s="35" t="str">
        <f>IF(ISBLANK(A1327),"",VLOOKUP(C1327,RELACIONES!$A$3:$B$70,2,FALSE))</f>
        <v/>
      </c>
      <c r="K1327" s="35" t="str">
        <f>IF(ISBLANK(A1327),"",VLOOKUP(J1327,RELACIONES!$B$3:$E$83,4,FALSE)*E1327)</f>
        <v/>
      </c>
    </row>
    <row r="1328" ht="15.75" customHeight="1">
      <c r="A1328" s="50"/>
      <c r="B1328" s="50"/>
      <c r="C1328" s="50"/>
      <c r="D1328" s="50"/>
      <c r="E1328" s="50"/>
      <c r="F1328" s="50"/>
      <c r="G1328" s="50"/>
      <c r="H1328" s="50"/>
      <c r="I1328" s="34" t="str">
        <f>IF(ISBLANK(A1328),"",VLOOKUP(A1328,RELACIONES!$G$3:$H$65,2,FALSE()))</f>
        <v/>
      </c>
      <c r="J1328" s="35" t="str">
        <f>IF(ISBLANK(A1328),"",VLOOKUP(C1328,RELACIONES!$A$3:$B$70,2,FALSE))</f>
        <v/>
      </c>
      <c r="K1328" s="35" t="str">
        <f>IF(ISBLANK(A1328),"",VLOOKUP(J1328,RELACIONES!$B$3:$E$83,4,FALSE)*E1328)</f>
        <v/>
      </c>
    </row>
    <row r="1329" ht="15.75" customHeight="1">
      <c r="A1329" s="50"/>
      <c r="B1329" s="50"/>
      <c r="C1329" s="50"/>
      <c r="D1329" s="50"/>
      <c r="E1329" s="50"/>
      <c r="F1329" s="50"/>
      <c r="G1329" s="50"/>
      <c r="H1329" s="50"/>
      <c r="I1329" s="34" t="str">
        <f>IF(ISBLANK(A1329),"",VLOOKUP(A1329,RELACIONES!$G$3:$H$65,2,FALSE()))</f>
        <v/>
      </c>
      <c r="J1329" s="35" t="str">
        <f>IF(ISBLANK(A1329),"",VLOOKUP(C1329,RELACIONES!$A$3:$B$70,2,FALSE))</f>
        <v/>
      </c>
      <c r="K1329" s="35" t="str">
        <f>IF(ISBLANK(A1329),"",VLOOKUP(J1329,RELACIONES!$B$3:$E$83,4,FALSE)*E1329)</f>
        <v/>
      </c>
    </row>
    <row r="1330" ht="15.75" customHeight="1">
      <c r="A1330" s="50"/>
      <c r="B1330" s="50"/>
      <c r="C1330" s="50"/>
      <c r="D1330" s="50"/>
      <c r="E1330" s="50"/>
      <c r="F1330" s="50"/>
      <c r="G1330" s="50"/>
      <c r="H1330" s="50"/>
      <c r="I1330" s="34" t="str">
        <f>IF(ISBLANK(A1330),"",VLOOKUP(A1330,RELACIONES!$G$3:$H$65,2,FALSE()))</f>
        <v/>
      </c>
      <c r="J1330" s="35" t="str">
        <f>IF(ISBLANK(A1330),"",VLOOKUP(C1330,RELACIONES!$A$3:$B$70,2,FALSE))</f>
        <v/>
      </c>
      <c r="K1330" s="35" t="str">
        <f>IF(ISBLANK(A1330),"",VLOOKUP(J1330,RELACIONES!$B$3:$E$83,4,FALSE)*E1330)</f>
        <v/>
      </c>
    </row>
    <row r="1331" ht="15.75" customHeight="1">
      <c r="A1331" s="50"/>
      <c r="B1331" s="50"/>
      <c r="C1331" s="50"/>
      <c r="D1331" s="50"/>
      <c r="E1331" s="50"/>
      <c r="F1331" s="50"/>
      <c r="G1331" s="50"/>
      <c r="H1331" s="50"/>
      <c r="I1331" s="34" t="str">
        <f>IF(ISBLANK(A1331),"",VLOOKUP(A1331,RELACIONES!$G$3:$H$65,2,FALSE()))</f>
        <v/>
      </c>
      <c r="J1331" s="35" t="str">
        <f>IF(ISBLANK(A1331),"",VLOOKUP(C1331,RELACIONES!$A$3:$B$70,2,FALSE))</f>
        <v/>
      </c>
      <c r="K1331" s="35" t="str">
        <f>IF(ISBLANK(A1331),"",VLOOKUP(J1331,RELACIONES!$B$3:$E$83,4,FALSE)*E1331)</f>
        <v/>
      </c>
    </row>
    <row r="1332" ht="15.75" customHeight="1">
      <c r="A1332" s="50"/>
      <c r="B1332" s="50"/>
      <c r="C1332" s="50"/>
      <c r="D1332" s="50"/>
      <c r="E1332" s="50"/>
      <c r="F1332" s="50"/>
      <c r="G1332" s="50"/>
      <c r="H1332" s="50"/>
      <c r="I1332" s="34" t="str">
        <f>IF(ISBLANK(A1332),"",VLOOKUP(A1332,RELACIONES!$G$3:$H$65,2,FALSE()))</f>
        <v/>
      </c>
      <c r="J1332" s="35" t="str">
        <f>IF(ISBLANK(A1332),"",VLOOKUP(C1332,RELACIONES!$A$3:$B$70,2,FALSE))</f>
        <v/>
      </c>
      <c r="K1332" s="35" t="str">
        <f>IF(ISBLANK(A1332),"",VLOOKUP(J1332,RELACIONES!$B$3:$E$83,4,FALSE)*E1332)</f>
        <v/>
      </c>
    </row>
    <row r="1333" ht="15.75" customHeight="1">
      <c r="A1333" s="50"/>
      <c r="B1333" s="50"/>
      <c r="C1333" s="50"/>
      <c r="D1333" s="50"/>
      <c r="E1333" s="50"/>
      <c r="F1333" s="50"/>
      <c r="G1333" s="50"/>
      <c r="H1333" s="50"/>
      <c r="I1333" s="34" t="str">
        <f>IF(ISBLANK(A1333),"",VLOOKUP(A1333,RELACIONES!$G$3:$H$65,2,FALSE()))</f>
        <v/>
      </c>
      <c r="J1333" s="35" t="str">
        <f>IF(ISBLANK(A1333),"",VLOOKUP(C1333,RELACIONES!$A$3:$B$70,2,FALSE))</f>
        <v/>
      </c>
      <c r="K1333" s="35" t="str">
        <f>IF(ISBLANK(A1333),"",VLOOKUP(J1333,RELACIONES!$B$3:$E$83,4,FALSE)*E1333)</f>
        <v/>
      </c>
    </row>
    <row r="1334" ht="15.75" customHeight="1">
      <c r="A1334" s="50"/>
      <c r="B1334" s="50"/>
      <c r="C1334" s="50"/>
      <c r="D1334" s="50"/>
      <c r="E1334" s="50"/>
      <c r="F1334" s="50"/>
      <c r="G1334" s="50"/>
      <c r="H1334" s="50"/>
      <c r="I1334" s="34" t="str">
        <f>IF(ISBLANK(A1334),"",VLOOKUP(A1334,RELACIONES!$G$3:$H$65,2,FALSE()))</f>
        <v/>
      </c>
      <c r="J1334" s="35" t="str">
        <f>IF(ISBLANK(A1334),"",VLOOKUP(C1334,RELACIONES!$A$3:$B$70,2,FALSE))</f>
        <v/>
      </c>
      <c r="K1334" s="35" t="str">
        <f>IF(ISBLANK(A1334),"",VLOOKUP(J1334,RELACIONES!$B$3:$E$83,4,FALSE)*E1334)</f>
        <v/>
      </c>
    </row>
    <row r="1335" ht="15.75" customHeight="1">
      <c r="A1335" s="50"/>
      <c r="B1335" s="50"/>
      <c r="C1335" s="50"/>
      <c r="D1335" s="50"/>
      <c r="E1335" s="50"/>
      <c r="F1335" s="50"/>
      <c r="G1335" s="50"/>
      <c r="H1335" s="50"/>
      <c r="I1335" s="34" t="str">
        <f>IF(ISBLANK(A1335),"",VLOOKUP(A1335,RELACIONES!$G$3:$H$65,2,FALSE()))</f>
        <v/>
      </c>
      <c r="J1335" s="35" t="str">
        <f>IF(ISBLANK(A1335),"",VLOOKUP(C1335,RELACIONES!$A$3:$B$70,2,FALSE))</f>
        <v/>
      </c>
      <c r="K1335" s="35" t="str">
        <f>IF(ISBLANK(A1335),"",VLOOKUP(J1335,RELACIONES!$B$3:$E$83,4,FALSE)*E1335)</f>
        <v/>
      </c>
    </row>
    <row r="1336" ht="15.75" customHeight="1">
      <c r="A1336" s="50"/>
      <c r="B1336" s="50"/>
      <c r="C1336" s="50"/>
      <c r="D1336" s="50"/>
      <c r="E1336" s="50"/>
      <c r="F1336" s="50"/>
      <c r="G1336" s="50"/>
      <c r="H1336" s="50"/>
      <c r="I1336" s="34" t="str">
        <f>IF(ISBLANK(A1336),"",VLOOKUP(A1336,RELACIONES!$G$3:$H$65,2,FALSE()))</f>
        <v/>
      </c>
      <c r="J1336" s="35" t="str">
        <f>IF(ISBLANK(A1336),"",VLOOKUP(C1336,RELACIONES!$A$3:$B$70,2,FALSE))</f>
        <v/>
      </c>
      <c r="K1336" s="35" t="str">
        <f>IF(ISBLANK(A1336),"",VLOOKUP(J1336,RELACIONES!$B$3:$E$83,4,FALSE)*E1336)</f>
        <v/>
      </c>
    </row>
    <row r="1337" ht="15.75" customHeight="1">
      <c r="A1337" s="50"/>
      <c r="B1337" s="50"/>
      <c r="C1337" s="50"/>
      <c r="D1337" s="50"/>
      <c r="E1337" s="50"/>
      <c r="F1337" s="50"/>
      <c r="G1337" s="50"/>
      <c r="H1337" s="50"/>
      <c r="I1337" s="34" t="str">
        <f>IF(ISBLANK(A1337),"",VLOOKUP(A1337,RELACIONES!$G$3:$H$65,2,FALSE()))</f>
        <v/>
      </c>
      <c r="J1337" s="35" t="str">
        <f>IF(ISBLANK(A1337),"",VLOOKUP(C1337,RELACIONES!$A$3:$B$70,2,FALSE))</f>
        <v/>
      </c>
      <c r="K1337" s="35" t="str">
        <f>IF(ISBLANK(A1337),"",VLOOKUP(J1337,RELACIONES!$B$3:$E$83,4,FALSE)*E1337)</f>
        <v/>
      </c>
    </row>
    <row r="1338" ht="15.75" customHeight="1">
      <c r="A1338" s="50"/>
      <c r="B1338" s="50"/>
      <c r="C1338" s="50"/>
      <c r="D1338" s="50"/>
      <c r="E1338" s="50"/>
      <c r="F1338" s="50"/>
      <c r="G1338" s="50"/>
      <c r="H1338" s="50"/>
      <c r="I1338" s="34" t="str">
        <f>IF(ISBLANK(A1338),"",VLOOKUP(A1338,RELACIONES!$G$3:$H$65,2,FALSE()))</f>
        <v/>
      </c>
      <c r="J1338" s="35" t="str">
        <f>IF(ISBLANK(A1338),"",VLOOKUP(C1338,RELACIONES!$A$3:$B$70,2,FALSE))</f>
        <v/>
      </c>
      <c r="K1338" s="35" t="str">
        <f>IF(ISBLANK(A1338),"",VLOOKUP(J1338,RELACIONES!$B$3:$E$83,4,FALSE)*E1338)</f>
        <v/>
      </c>
    </row>
    <row r="1339" ht="15.75" customHeight="1">
      <c r="A1339" s="50"/>
      <c r="B1339" s="50"/>
      <c r="C1339" s="50"/>
      <c r="D1339" s="50"/>
      <c r="E1339" s="50"/>
      <c r="F1339" s="50"/>
      <c r="G1339" s="50"/>
      <c r="H1339" s="50"/>
      <c r="I1339" s="34" t="str">
        <f>IF(ISBLANK(A1339),"",VLOOKUP(A1339,RELACIONES!$G$3:$H$65,2,FALSE()))</f>
        <v/>
      </c>
      <c r="J1339" s="35" t="str">
        <f>IF(ISBLANK(A1339),"",VLOOKUP(C1339,RELACIONES!$A$3:$B$70,2,FALSE))</f>
        <v/>
      </c>
      <c r="K1339" s="35" t="str">
        <f>IF(ISBLANK(A1339),"",VLOOKUP(J1339,RELACIONES!$B$3:$E$83,4,FALSE)*E1339)</f>
        <v/>
      </c>
    </row>
    <row r="1340" ht="15.75" customHeight="1">
      <c r="A1340" s="50"/>
      <c r="B1340" s="50"/>
      <c r="C1340" s="50"/>
      <c r="D1340" s="50"/>
      <c r="E1340" s="50"/>
      <c r="F1340" s="50"/>
      <c r="G1340" s="50"/>
      <c r="H1340" s="50"/>
      <c r="I1340" s="34" t="str">
        <f>IF(ISBLANK(A1340),"",VLOOKUP(A1340,RELACIONES!$G$3:$H$65,2,FALSE()))</f>
        <v/>
      </c>
      <c r="J1340" s="35" t="str">
        <f>IF(ISBLANK(A1340),"",VLOOKUP(C1340,RELACIONES!$A$3:$B$70,2,FALSE))</f>
        <v/>
      </c>
      <c r="K1340" s="35" t="str">
        <f>IF(ISBLANK(A1340),"",VLOOKUP(J1340,RELACIONES!$B$3:$E$83,4,FALSE)*E1340)</f>
        <v/>
      </c>
    </row>
    <row r="1341" ht="15.75" customHeight="1">
      <c r="A1341" s="50"/>
      <c r="B1341" s="50"/>
      <c r="C1341" s="50"/>
      <c r="D1341" s="50"/>
      <c r="E1341" s="50"/>
      <c r="F1341" s="50"/>
      <c r="G1341" s="50"/>
      <c r="H1341" s="50"/>
      <c r="I1341" s="34" t="str">
        <f>IF(ISBLANK(A1341),"",VLOOKUP(A1341,RELACIONES!$G$3:$H$65,2,FALSE()))</f>
        <v/>
      </c>
      <c r="J1341" s="35" t="str">
        <f>IF(ISBLANK(A1341),"",VLOOKUP(C1341,RELACIONES!$A$3:$B$70,2,FALSE))</f>
        <v/>
      </c>
      <c r="K1341" s="35" t="str">
        <f>IF(ISBLANK(A1341),"",VLOOKUP(J1341,RELACIONES!$B$3:$E$83,4,FALSE)*E1341)</f>
        <v/>
      </c>
    </row>
    <row r="1342" ht="15.75" customHeight="1">
      <c r="A1342" s="50"/>
      <c r="B1342" s="50"/>
      <c r="C1342" s="50"/>
      <c r="D1342" s="50"/>
      <c r="E1342" s="50"/>
      <c r="F1342" s="50"/>
      <c r="G1342" s="50"/>
      <c r="H1342" s="50"/>
      <c r="I1342" s="34" t="str">
        <f>IF(ISBLANK(A1342),"",VLOOKUP(A1342,RELACIONES!$G$3:$H$65,2,FALSE()))</f>
        <v/>
      </c>
      <c r="J1342" s="35" t="str">
        <f>IF(ISBLANK(A1342),"",VLOOKUP(C1342,RELACIONES!$A$3:$B$70,2,FALSE))</f>
        <v/>
      </c>
      <c r="K1342" s="35" t="str">
        <f>IF(ISBLANK(A1342),"",VLOOKUP(J1342,RELACIONES!$B$3:$E$83,4,FALSE)*E1342)</f>
        <v/>
      </c>
    </row>
    <row r="1343" ht="15.75" customHeight="1">
      <c r="A1343" s="50"/>
      <c r="B1343" s="50"/>
      <c r="C1343" s="50"/>
      <c r="D1343" s="50"/>
      <c r="E1343" s="50"/>
      <c r="F1343" s="50"/>
      <c r="G1343" s="50"/>
      <c r="H1343" s="50"/>
      <c r="I1343" s="34" t="str">
        <f>IF(ISBLANK(A1343),"",VLOOKUP(A1343,RELACIONES!$G$3:$H$65,2,FALSE()))</f>
        <v/>
      </c>
      <c r="J1343" s="35" t="str">
        <f>IF(ISBLANK(A1343),"",VLOOKUP(C1343,RELACIONES!$A$3:$B$70,2,FALSE))</f>
        <v/>
      </c>
      <c r="K1343" s="35" t="str">
        <f>IF(ISBLANK(A1343),"",VLOOKUP(J1343,RELACIONES!$B$3:$E$83,4,FALSE)*E1343)</f>
        <v/>
      </c>
    </row>
    <row r="1344" ht="15.75" customHeight="1">
      <c r="A1344" s="50"/>
      <c r="B1344" s="50"/>
      <c r="C1344" s="50"/>
      <c r="D1344" s="50"/>
      <c r="E1344" s="50"/>
      <c r="F1344" s="50"/>
      <c r="G1344" s="50"/>
      <c r="H1344" s="50"/>
      <c r="I1344" s="34" t="str">
        <f>IF(ISBLANK(A1344),"",VLOOKUP(A1344,RELACIONES!$G$3:$H$65,2,FALSE()))</f>
        <v/>
      </c>
      <c r="J1344" s="35" t="str">
        <f>IF(ISBLANK(A1344),"",VLOOKUP(C1344,RELACIONES!$A$3:$B$70,2,FALSE))</f>
        <v/>
      </c>
      <c r="K1344" s="35" t="str">
        <f>IF(ISBLANK(A1344),"",VLOOKUP(J1344,RELACIONES!$B$3:$E$83,4,FALSE)*E1344)</f>
        <v/>
      </c>
    </row>
    <row r="1345" ht="15.75" customHeight="1">
      <c r="A1345" s="50"/>
      <c r="B1345" s="50"/>
      <c r="C1345" s="50"/>
      <c r="D1345" s="50"/>
      <c r="E1345" s="50"/>
      <c r="F1345" s="50"/>
      <c r="G1345" s="50"/>
      <c r="H1345" s="50"/>
      <c r="I1345" s="34" t="str">
        <f>IF(ISBLANK(A1345),"",VLOOKUP(A1345,RELACIONES!$G$3:$H$65,2,FALSE()))</f>
        <v/>
      </c>
      <c r="J1345" s="35" t="str">
        <f>IF(ISBLANK(A1345),"",VLOOKUP(C1345,RELACIONES!$A$3:$B$70,2,FALSE))</f>
        <v/>
      </c>
      <c r="K1345" s="35" t="str">
        <f>IF(ISBLANK(A1345),"",VLOOKUP(J1345,RELACIONES!$B$3:$E$83,4,FALSE)*E1345)</f>
        <v/>
      </c>
    </row>
    <row r="1346" ht="15.75" customHeight="1">
      <c r="A1346" s="50"/>
      <c r="B1346" s="50"/>
      <c r="C1346" s="50"/>
      <c r="D1346" s="50"/>
      <c r="E1346" s="50"/>
      <c r="F1346" s="50"/>
      <c r="G1346" s="50"/>
      <c r="H1346" s="50"/>
      <c r="I1346" s="34" t="str">
        <f>IF(ISBLANK(A1346),"",VLOOKUP(A1346,RELACIONES!$G$3:$H$65,2,FALSE()))</f>
        <v/>
      </c>
      <c r="J1346" s="35" t="str">
        <f>IF(ISBLANK(A1346),"",VLOOKUP(C1346,RELACIONES!$A$3:$B$70,2,FALSE))</f>
        <v/>
      </c>
      <c r="K1346" s="35" t="str">
        <f>IF(ISBLANK(A1346),"",VLOOKUP(J1346,RELACIONES!$B$3:$E$83,4,FALSE)*E1346)</f>
        <v/>
      </c>
    </row>
    <row r="1347" ht="15.75" customHeight="1">
      <c r="A1347" s="50"/>
      <c r="B1347" s="50"/>
      <c r="C1347" s="50"/>
      <c r="D1347" s="50"/>
      <c r="E1347" s="50"/>
      <c r="F1347" s="50"/>
      <c r="G1347" s="50"/>
      <c r="H1347" s="50"/>
      <c r="I1347" s="34" t="str">
        <f>IF(ISBLANK(A1347),"",VLOOKUP(A1347,RELACIONES!$G$3:$H$65,2,FALSE()))</f>
        <v/>
      </c>
      <c r="J1347" s="35" t="str">
        <f>IF(ISBLANK(A1347),"",VLOOKUP(C1347,RELACIONES!$A$3:$B$70,2,FALSE))</f>
        <v/>
      </c>
      <c r="K1347" s="35" t="str">
        <f>IF(ISBLANK(A1347),"",VLOOKUP(J1347,RELACIONES!$B$3:$E$83,4,FALSE)*E1347)</f>
        <v/>
      </c>
    </row>
    <row r="1348" ht="15.75" customHeight="1">
      <c r="A1348" s="50"/>
      <c r="B1348" s="50"/>
      <c r="C1348" s="50"/>
      <c r="D1348" s="50"/>
      <c r="E1348" s="50"/>
      <c r="F1348" s="50"/>
      <c r="G1348" s="50"/>
      <c r="H1348" s="50"/>
      <c r="I1348" s="34" t="str">
        <f>IF(ISBLANK(A1348),"",VLOOKUP(A1348,RELACIONES!$G$3:$H$65,2,FALSE()))</f>
        <v/>
      </c>
      <c r="J1348" s="35" t="str">
        <f>IF(ISBLANK(A1348),"",VLOOKUP(C1348,RELACIONES!$A$3:$B$70,2,FALSE))</f>
        <v/>
      </c>
      <c r="K1348" s="35" t="str">
        <f>IF(ISBLANK(A1348),"",VLOOKUP(J1348,RELACIONES!$B$3:$E$83,4,FALSE)*E1348)</f>
        <v/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60.71"/>
    <col customWidth="1" min="7" max="7" width="40.43"/>
  </cols>
  <sheetData>
    <row r="3">
      <c r="A3" s="27" t="s">
        <v>2101</v>
      </c>
      <c r="B3" s="25" t="s">
        <v>1136</v>
      </c>
      <c r="C3" s="22" t="str">
        <f>VLOOKUP(B3,'📦 Materiales'!$C$3:$D$1402,2,FALSE)</f>
        <v>Unidad</v>
      </c>
      <c r="D3" s="25">
        <v>1.0</v>
      </c>
      <c r="E3" s="24">
        <f>VLOOKUP(B3,'📦 Materiales'!$C$3:$E$1402,3,FALSE)/D3</f>
        <v>783.99</v>
      </c>
      <c r="G3" s="25" t="s">
        <v>2037</v>
      </c>
      <c r="H3" s="34" t="s">
        <v>2169</v>
      </c>
      <c r="I3" s="23">
        <f>VLOOKUP(H3,'🔨 Mano de Obra'!$H$4:$I$475,2,FALSE)</f>
        <v>31742.08</v>
      </c>
    </row>
    <row r="4">
      <c r="A4" s="27" t="s">
        <v>2105</v>
      </c>
      <c r="B4" s="25" t="s">
        <v>179</v>
      </c>
      <c r="C4" s="22" t="str">
        <f>VLOOKUP(B4,'📦 Materiales'!$C$3:$D$1402,2,FALSE)</f>
        <v>Kilogramo</v>
      </c>
      <c r="D4" s="25">
        <v>1.0</v>
      </c>
      <c r="E4" s="24">
        <f>VLOOKUP(B4,'📦 Materiales'!$C$3:$E$1402,3,FALSE)/D4</f>
        <v>312.87</v>
      </c>
      <c r="G4" s="25" t="s">
        <v>2038</v>
      </c>
      <c r="H4" s="34" t="s">
        <v>2170</v>
      </c>
      <c r="I4" s="23">
        <f>VLOOKUP(H4,'🔨 Mano de Obra'!$H$4:$I$475,2,FALSE)</f>
        <v>33218.38</v>
      </c>
    </row>
    <row r="5">
      <c r="A5" s="27" t="s">
        <v>2107</v>
      </c>
      <c r="B5" s="25" t="s">
        <v>64</v>
      </c>
      <c r="C5" s="22" t="str">
        <f>VLOOKUP(B5,'📦 Materiales'!$C$3:$D$1402,2,FALSE)</f>
        <v>Metro cùbico</v>
      </c>
      <c r="D5" s="25">
        <v>1.0</v>
      </c>
      <c r="E5" s="24">
        <f>VLOOKUP(B5,'📦 Materiales'!$C$3:$E$1402,3,FALSE)/D5</f>
        <v>54451.66</v>
      </c>
      <c r="G5" s="25" t="s">
        <v>2039</v>
      </c>
      <c r="H5" s="34" t="s">
        <v>2171</v>
      </c>
      <c r="I5" s="23">
        <f>VLOOKUP(H5,'🔨 Mano de Obra'!$H$4:$I$475,2,FALSE)</f>
        <v>41830.57</v>
      </c>
    </row>
    <row r="6">
      <c r="A6" s="27" t="s">
        <v>2109</v>
      </c>
      <c r="B6" s="25" t="s">
        <v>176</v>
      </c>
      <c r="C6" s="22" t="str">
        <f>VLOOKUP(B6,'📦 Materiales'!$C$3:$D$1402,2,FALSE)</f>
        <v>Kilogramo</v>
      </c>
      <c r="D6" s="25">
        <v>1.0</v>
      </c>
      <c r="E6" s="24">
        <f>VLOOKUP(B6,'📦 Materiales'!$C$3:$E$1402,3,FALSE)/D6</f>
        <v>415.73</v>
      </c>
      <c r="G6" s="25" t="s">
        <v>2040</v>
      </c>
      <c r="H6" s="34" t="s">
        <v>2172</v>
      </c>
      <c r="I6" s="24">
        <f>VLOOKUP(H6,'🔨 Mano de Obra'!$H$4:$I$475,2,FALSE)</f>
        <v>40231.176</v>
      </c>
    </row>
    <row r="7">
      <c r="A7" s="27" t="s">
        <v>2110</v>
      </c>
      <c r="B7" s="25" t="s">
        <v>590</v>
      </c>
      <c r="C7" s="22" t="str">
        <f>VLOOKUP(B7,'📦 Materiales'!$C$3:$D$1402,2,FALSE)</f>
        <v>Unidad</v>
      </c>
      <c r="D7" s="25">
        <v>1.0</v>
      </c>
      <c r="E7" s="24">
        <f>VLOOKUP(B7,'📦 Materiales'!$C$3:$E$1402,3,FALSE)/D7</f>
        <v>9535.65</v>
      </c>
      <c r="G7" s="27" t="s">
        <v>2041</v>
      </c>
      <c r="H7" s="34" t="s">
        <v>2173</v>
      </c>
      <c r="I7" s="23">
        <f>VLOOKUP(H7,'🔨 Mano de Obra'!$H$4:$I$475,2,FALSE)</f>
        <v>14953.21</v>
      </c>
      <c r="J7" s="34"/>
    </row>
    <row r="8">
      <c r="A8" s="27" t="s">
        <v>1432</v>
      </c>
      <c r="B8" s="25" t="s">
        <v>1432</v>
      </c>
      <c r="C8" s="22" t="str">
        <f>VLOOKUP(B8,'📦 Materiales'!$C$3:$D$1402,2,FALSE)</f>
        <v>Unidad</v>
      </c>
      <c r="D8" s="25">
        <v>1.0</v>
      </c>
      <c r="E8" s="24">
        <f>VLOOKUP(B8,'📦 Materiales'!$C$3:$E$1402,3,FALSE)/D8</f>
        <v>4000</v>
      </c>
      <c r="G8" s="27" t="s">
        <v>2042</v>
      </c>
      <c r="H8" s="34" t="s">
        <v>2174</v>
      </c>
      <c r="I8" s="23">
        <f>VLOOKUP(H8,'🔨 Mano de Obra'!$H$4:$I$475,2,FALSE)</f>
        <v>18247.95</v>
      </c>
    </row>
    <row r="9">
      <c r="A9" s="27" t="s">
        <v>2113</v>
      </c>
      <c r="B9" s="25" t="s">
        <v>1132</v>
      </c>
      <c r="C9" s="22" t="str">
        <f>VLOOKUP(B9,'📦 Materiales'!$C$3:$D$1402,2,FALSE)</f>
        <v>Unidad</v>
      </c>
      <c r="D9" s="25">
        <v>1.0</v>
      </c>
      <c r="E9" s="24">
        <f>VLOOKUP(B9,'📦 Materiales'!$C$3:$E$1402,3,FALSE)/D9</f>
        <v>1026.65</v>
      </c>
      <c r="G9" s="27" t="s">
        <v>2043</v>
      </c>
      <c r="H9" s="34" t="s">
        <v>2175</v>
      </c>
      <c r="I9" s="23">
        <f>VLOOKUP(H9,'🔨 Mano de Obra'!$H$4:$I$475,2,FALSE)</f>
        <v>18085.58</v>
      </c>
    </row>
    <row r="10">
      <c r="A10" s="27" t="s">
        <v>1433</v>
      </c>
      <c r="B10" s="25" t="s">
        <v>1433</v>
      </c>
      <c r="C10" s="22" t="str">
        <f>VLOOKUP(B10,'📦 Materiales'!$C$3:$D$1402,2,FALSE)</f>
        <v>Metro cubico</v>
      </c>
      <c r="D10" s="25">
        <v>1.0</v>
      </c>
      <c r="E10" s="24">
        <f>VLOOKUP(B10,'📦 Materiales'!$C$3:$E$1402,3,FALSE)/D10</f>
        <v>27000</v>
      </c>
      <c r="G10" s="27" t="s">
        <v>2044</v>
      </c>
      <c r="H10" s="34" t="s">
        <v>2175</v>
      </c>
      <c r="I10" s="23">
        <f>VLOOKUP(H10,'🔨 Mano de Obra'!$H$4:$I$475,2,FALSE)</f>
        <v>18085.58</v>
      </c>
    </row>
    <row r="11">
      <c r="A11" s="27" t="s">
        <v>1436</v>
      </c>
      <c r="B11" s="25" t="s">
        <v>1436</v>
      </c>
      <c r="C11" s="22" t="str">
        <f>VLOOKUP(B11,'📦 Materiales'!$C$3:$D$1402,2,FALSE)</f>
        <v>Unidad</v>
      </c>
      <c r="D11" s="25">
        <v>1.0</v>
      </c>
      <c r="E11" s="24">
        <f>VLOOKUP(B11,'📦 Materiales'!$C$3:$E$1402,3,FALSE)/D11</f>
        <v>3500</v>
      </c>
      <c r="G11" s="27" t="s">
        <v>2045</v>
      </c>
      <c r="H11" s="34" t="s">
        <v>2176</v>
      </c>
      <c r="I11" s="23">
        <f>VLOOKUP(H11,'🔨 Mano de Obra'!$H$4:$I$475,2,FALSE)</f>
        <v>17129.59</v>
      </c>
    </row>
    <row r="12">
      <c r="A12" s="27" t="s">
        <v>1437</v>
      </c>
      <c r="B12" s="25" t="s">
        <v>1437</v>
      </c>
      <c r="C12" s="22" t="str">
        <f>VLOOKUP(B12,'📦 Materiales'!$C$3:$D$1402,2,FALSE)</f>
        <v>Unidad</v>
      </c>
      <c r="D12" s="25">
        <v>1.0</v>
      </c>
      <c r="E12" s="24">
        <f>VLOOKUP(B12,'📦 Materiales'!$C$3:$E$1402,3,FALSE)/D12</f>
        <v>10500</v>
      </c>
      <c r="G12" s="27" t="s">
        <v>2046</v>
      </c>
      <c r="H12" s="34" t="s">
        <v>2176</v>
      </c>
      <c r="I12" s="23">
        <f>VLOOKUP(H12,'🔨 Mano de Obra'!$H$4:$I$475,2,FALSE)</f>
        <v>17129.59</v>
      </c>
    </row>
    <row r="13">
      <c r="A13" s="27" t="s">
        <v>1438</v>
      </c>
      <c r="B13" s="25" t="s">
        <v>1438</v>
      </c>
      <c r="C13" s="22" t="str">
        <f>VLOOKUP(B13,'📦 Materiales'!$C$3:$D$1402,2,FALSE)</f>
        <v>Metro cuadrado</v>
      </c>
      <c r="D13" s="25">
        <v>1.0</v>
      </c>
      <c r="E13" s="24">
        <f>VLOOKUP(B13,'📦 Materiales'!$C$3:$E$1402,3,FALSE)/D13</f>
        <v>520</v>
      </c>
      <c r="G13" s="27" t="s">
        <v>2047</v>
      </c>
      <c r="H13" s="34" t="s">
        <v>2176</v>
      </c>
      <c r="I13" s="23">
        <f>VLOOKUP(H13,'🔨 Mano de Obra'!$H$4:$I$475,2,FALSE)</f>
        <v>17129.59</v>
      </c>
    </row>
    <row r="14">
      <c r="A14" s="27" t="s">
        <v>2115</v>
      </c>
      <c r="B14" s="25" t="s">
        <v>52</v>
      </c>
      <c r="C14" s="22" t="str">
        <f>VLOOKUP(B14,'📦 Materiales'!$C$3:$D$1402,2,FALSE)</f>
        <v>Metro cuadrado</v>
      </c>
      <c r="D14" s="25">
        <v>1.0</v>
      </c>
      <c r="E14" s="24">
        <f>VLOOKUP(B14,'📦 Materiales'!$C$3:$E$1402,3,FALSE)/D14</f>
        <v>11592.02</v>
      </c>
      <c r="G14" s="27" t="s">
        <v>2048</v>
      </c>
      <c r="H14" s="34"/>
      <c r="I14" s="22" t="str">
        <f>VLOOKUP(H14,'🔨 Mano de Obra'!$H$4:$I$475,2,FALSE)</f>
        <v>#N/A</v>
      </c>
    </row>
    <row r="15">
      <c r="A15" s="27" t="s">
        <v>2117</v>
      </c>
      <c r="B15" s="25" t="s">
        <v>52</v>
      </c>
      <c r="C15" s="22" t="str">
        <f>VLOOKUP(B15,'📦 Materiales'!$C$3:$D$1402,2,FALSE)</f>
        <v>Metro cuadrado</v>
      </c>
      <c r="D15" s="25">
        <v>1.0</v>
      </c>
      <c r="E15" s="24">
        <f>VLOOKUP(B15,'📦 Materiales'!$C$3:$E$1402,3,FALSE)/D15</f>
        <v>11592.02</v>
      </c>
      <c r="G15" s="27" t="s">
        <v>2049</v>
      </c>
      <c r="H15" s="34"/>
      <c r="I15" s="22" t="str">
        <f>VLOOKUP(H15,'🔨 Mano de Obra'!$H$4:$I$475,2,FALSE)</f>
        <v>#N/A</v>
      </c>
    </row>
    <row r="16">
      <c r="A16" s="27" t="s">
        <v>1439</v>
      </c>
      <c r="B16" s="25" t="s">
        <v>1439</v>
      </c>
      <c r="C16" s="22" t="str">
        <f>VLOOKUP(B16,'📦 Materiales'!$C$3:$D$1402,2,FALSE)</f>
        <v>Metro cuadrado</v>
      </c>
      <c r="D16" s="25">
        <v>1.0</v>
      </c>
      <c r="E16" s="24">
        <f>VLOOKUP(B16,'📦 Materiales'!$C$3:$E$1402,3,FALSE)/D16</f>
        <v>8000</v>
      </c>
      <c r="G16" s="27" t="s">
        <v>2050</v>
      </c>
      <c r="H16" s="34"/>
      <c r="I16" s="22" t="str">
        <f>VLOOKUP(H16,'🔨 Mano de Obra'!$H$4:$I$475,2,FALSE)</f>
        <v>#N/A</v>
      </c>
    </row>
    <row r="17">
      <c r="A17" s="27" t="s">
        <v>2118</v>
      </c>
      <c r="B17" s="25" t="s">
        <v>57</v>
      </c>
      <c r="C17" s="22" t="str">
        <f>VLOOKUP(B17,'📦 Materiales'!$C$3:$D$1402,2,FALSE)</f>
        <v>Unidad</v>
      </c>
      <c r="D17" s="25">
        <v>18.0</v>
      </c>
      <c r="E17" s="24">
        <f>VLOOKUP(B17,'📦 Materiales'!$C$3:$E$1402,3,FALSE)/D17</f>
        <v>9483.321667</v>
      </c>
      <c r="G17" s="27" t="s">
        <v>2051</v>
      </c>
      <c r="H17" s="51" t="s">
        <v>2177</v>
      </c>
      <c r="I17" s="23">
        <f>VLOOKUP(H17,'🔨 Mano de Obra'!$H$4:$I$475,2,FALSE)</f>
        <v>16793.73</v>
      </c>
    </row>
    <row r="18">
      <c r="A18" s="27" t="s">
        <v>2119</v>
      </c>
      <c r="B18" s="25" t="s">
        <v>57</v>
      </c>
      <c r="C18" s="22" t="str">
        <f>VLOOKUP(B18,'📦 Materiales'!$C$3:$D$1402,2,FALSE)</f>
        <v>Unidad</v>
      </c>
      <c r="D18" s="25">
        <v>18.0</v>
      </c>
      <c r="E18" s="24">
        <f>VLOOKUP(B18,'📦 Materiales'!$C$3:$E$1402,3,FALSE)/D18</f>
        <v>9483.321667</v>
      </c>
      <c r="G18" s="27" t="s">
        <v>2052</v>
      </c>
      <c r="H18" s="34" t="s">
        <v>2178</v>
      </c>
      <c r="I18" s="23">
        <f>VLOOKUP(H18,'🔨 Mano de Obra'!$H$4:$I$475,2,FALSE)</f>
        <v>15243.57</v>
      </c>
    </row>
    <row r="19">
      <c r="A19" s="27" t="s">
        <v>1435</v>
      </c>
      <c r="B19" s="25" t="s">
        <v>1435</v>
      </c>
      <c r="C19" s="22" t="str">
        <f>VLOOKUP(B19,'📦 Materiales'!$C$3:$D$1402,2,FALSE)</f>
        <v>Metro cuadrado</v>
      </c>
      <c r="D19" s="25">
        <v>1.0</v>
      </c>
      <c r="E19" s="24">
        <f>VLOOKUP(B19,'📦 Materiales'!$C$3:$E$1402,3,FALSE)/D19</f>
        <v>800</v>
      </c>
      <c r="G19" s="27" t="s">
        <v>2053</v>
      </c>
      <c r="H19" s="34" t="s">
        <v>2179</v>
      </c>
      <c r="I19" s="23">
        <f>VLOOKUP(H19,'🔨 Mano de Obra'!$H$4:$I$475,2,FALSE)</f>
        <v>20275.51</v>
      </c>
    </row>
    <row r="20">
      <c r="A20" s="27" t="s">
        <v>1440</v>
      </c>
      <c r="B20" s="25" t="s">
        <v>1440</v>
      </c>
      <c r="C20" s="22" t="str">
        <f>VLOOKUP(B20,'📦 Materiales'!$C$3:$D$1402,2,FALSE)</f>
        <v>Unidad</v>
      </c>
      <c r="D20" s="25">
        <v>1.0</v>
      </c>
      <c r="E20" s="24">
        <f>VLOOKUP(B20,'📦 Materiales'!$C$3:$E$1402,3,FALSE)/D20</f>
        <v>4500</v>
      </c>
      <c r="G20" s="27" t="s">
        <v>2054</v>
      </c>
      <c r="H20" s="34" t="s">
        <v>2180</v>
      </c>
      <c r="I20" s="23">
        <f>VLOOKUP(H20,'🔨 Mano de Obra'!$H$4:$I$475,2,FALSE)</f>
        <v>22809.94</v>
      </c>
    </row>
    <row r="21">
      <c r="A21" s="27" t="s">
        <v>2120</v>
      </c>
      <c r="B21" s="25" t="s">
        <v>38</v>
      </c>
      <c r="C21" s="22" t="str">
        <f>VLOOKUP(B21,'📦 Materiales'!$C$3:$D$1402,2,FALSE)</f>
        <v>Unidad</v>
      </c>
      <c r="D21" s="25">
        <v>20.0</v>
      </c>
      <c r="E21" s="24">
        <f>VLOOKUP(B21,'📦 Materiales'!$C$3:$E$1402,3,FALSE)/D21</f>
        <v>2446.301</v>
      </c>
      <c r="G21" s="27" t="s">
        <v>2055</v>
      </c>
      <c r="H21" s="34" t="s">
        <v>2180</v>
      </c>
      <c r="I21" s="23">
        <f>VLOOKUP(H21,'🔨 Mano de Obra'!$H$4:$I$475,2,FALSE)</f>
        <v>22809.94</v>
      </c>
    </row>
    <row r="22">
      <c r="A22" s="27" t="s">
        <v>2121</v>
      </c>
      <c r="B22" s="25" t="s">
        <v>175</v>
      </c>
      <c r="C22" s="22" t="str">
        <f>VLOOKUP(B22,'📦 Materiales'!$C$3:$D$1402,2,FALSE)</f>
        <v>Kilogramo</v>
      </c>
      <c r="D22" s="25">
        <v>1.0</v>
      </c>
      <c r="E22" s="24">
        <f>VLOOKUP(B22,'📦 Materiales'!$C$3:$E$1402,3,FALSE)/D22</f>
        <v>1064.26</v>
      </c>
      <c r="G22" s="27" t="s">
        <v>2056</v>
      </c>
      <c r="H22" s="34" t="s">
        <v>2181</v>
      </c>
      <c r="I22" s="23">
        <f>VLOOKUP(H22,'🔨 Mano de Obra'!$H$4:$I$475,2,FALSE)</f>
        <v>15206.65</v>
      </c>
    </row>
    <row r="23">
      <c r="A23" s="27" t="s">
        <v>2122</v>
      </c>
      <c r="B23" s="10" t="s">
        <v>1401</v>
      </c>
      <c r="C23" s="22" t="str">
        <f>VLOOKUP(B23,'📦 Materiales'!$C$3:$D$1402,2,FALSE)</f>
        <v>Unidad</v>
      </c>
      <c r="D23" s="25">
        <v>40.0</v>
      </c>
      <c r="E23" s="24">
        <f>VLOOKUP(B23,'📦 Materiales'!$C$3:$E$1402,3,FALSE)/D23</f>
        <v>881.00375</v>
      </c>
      <c r="G23" s="27" t="s">
        <v>2057</v>
      </c>
      <c r="H23" s="34" t="s">
        <v>2181</v>
      </c>
      <c r="I23" s="23">
        <f>VLOOKUP(H23,'🔨 Mano de Obra'!$H$4:$I$475,2,FALSE)</f>
        <v>15206.65</v>
      </c>
    </row>
    <row r="24">
      <c r="A24" s="27" t="s">
        <v>2123</v>
      </c>
      <c r="B24" s="25" t="s">
        <v>194</v>
      </c>
      <c r="C24" s="22" t="str">
        <f>VLOOKUP(B24,'📦 Materiales'!$C$3:$D$1402,2,FALSE)</f>
        <v>Unidad</v>
      </c>
      <c r="D24" s="25">
        <v>30.0</v>
      </c>
      <c r="E24" s="24">
        <f>VLOOKUP(B24,'📦 Materiales'!$C$3:$E$1402,3,FALSE)/D24</f>
        <v>1375.828333</v>
      </c>
      <c r="G24" s="27" t="s">
        <v>2058</v>
      </c>
      <c r="H24" s="34" t="s">
        <v>2182</v>
      </c>
      <c r="I24" s="23">
        <f>VLOOKUP(H24,'🔨 Mano de Obra'!$H$4:$I$475,2,FALSE)</f>
        <v>34214.93</v>
      </c>
    </row>
    <row r="25">
      <c r="A25" s="27" t="s">
        <v>2125</v>
      </c>
      <c r="B25" s="25" t="s">
        <v>192</v>
      </c>
      <c r="C25" s="22" t="str">
        <f>VLOOKUP(B25,'📦 Materiales'!$C$3:$D$1402,2,FALSE)</f>
        <v>Kilogramo</v>
      </c>
      <c r="D25" s="25">
        <v>1.0</v>
      </c>
      <c r="E25" s="24">
        <f>VLOOKUP(B25,'📦 Materiales'!$C$3:$E$1402,3,FALSE)/D25</f>
        <v>4494.42</v>
      </c>
      <c r="G25" s="27" t="s">
        <v>2059</v>
      </c>
      <c r="H25" s="34" t="s">
        <v>2182</v>
      </c>
      <c r="I25" s="23">
        <f>VLOOKUP(H25,'🔨 Mano de Obra'!$H$4:$I$475,2,FALSE)</f>
        <v>34214.93</v>
      </c>
    </row>
    <row r="26">
      <c r="A26" s="27" t="s">
        <v>1441</v>
      </c>
      <c r="B26" s="25" t="s">
        <v>1441</v>
      </c>
      <c r="C26" s="22" t="str">
        <f>VLOOKUP(B26,'📦 Materiales'!$C$3:$D$1402,2,FALSE)</f>
        <v>Unidad</v>
      </c>
      <c r="D26" s="25">
        <v>1.0</v>
      </c>
      <c r="E26" s="24">
        <f>VLOOKUP(B26,'📦 Materiales'!$C$3:$E$1402,3,FALSE)/D26</f>
        <v>76</v>
      </c>
      <c r="G26" s="27" t="s">
        <v>2060</v>
      </c>
      <c r="H26" s="34" t="s">
        <v>2183</v>
      </c>
      <c r="I26" s="23">
        <f>VLOOKUP(H26,'🔨 Mano de Obra'!$H$4:$I$475,2,FALSE)</f>
        <v>38016.63</v>
      </c>
    </row>
    <row r="27">
      <c r="A27" s="27" t="s">
        <v>1442</v>
      </c>
      <c r="B27" s="25" t="s">
        <v>1442</v>
      </c>
      <c r="C27" s="22" t="str">
        <f>VLOOKUP(B27,'📦 Materiales'!$C$3:$D$1402,2,FALSE)</f>
        <v>Unidad</v>
      </c>
      <c r="D27" s="25">
        <v>1.0</v>
      </c>
      <c r="E27" s="24">
        <f>VLOOKUP(B27,'📦 Materiales'!$C$3:$E$1402,3,FALSE)/D27</f>
        <v>12300</v>
      </c>
      <c r="G27" s="27" t="s">
        <v>2061</v>
      </c>
      <c r="H27" s="34" t="s">
        <v>2183</v>
      </c>
      <c r="I27" s="23">
        <f>VLOOKUP(H27,'🔨 Mano de Obra'!$H$4:$I$475,2,FALSE)</f>
        <v>38016.63</v>
      </c>
    </row>
    <row r="28">
      <c r="A28" s="27" t="s">
        <v>2126</v>
      </c>
      <c r="B28" s="25" t="s">
        <v>1255</v>
      </c>
      <c r="C28" s="22" t="str">
        <f>VLOOKUP(B28,'📦 Materiales'!$C$3:$D$1402,2,FALSE)</f>
        <v>Unidad</v>
      </c>
      <c r="D28" s="25">
        <v>50.0</v>
      </c>
      <c r="E28" s="24">
        <f>VLOOKUP(B28,'📦 Materiales'!$C$3:$E$1402,3,FALSE)/D28</f>
        <v>115.0668</v>
      </c>
      <c r="G28" s="27" t="s">
        <v>2062</v>
      </c>
      <c r="H28" s="34" t="s">
        <v>2184</v>
      </c>
      <c r="I28" s="23">
        <f>VLOOKUP(H28,'🔨 Mano de Obra'!$H$4:$I$475,2,FALSE)</f>
        <v>44378.05</v>
      </c>
    </row>
    <row r="29">
      <c r="A29" s="27" t="s">
        <v>2127</v>
      </c>
      <c r="B29" s="25" t="s">
        <v>194</v>
      </c>
      <c r="C29" s="22" t="str">
        <f>VLOOKUP(B29,'📦 Materiales'!$C$3:$D$1402,2,FALSE)</f>
        <v>Unidad</v>
      </c>
      <c r="D29" s="25">
        <v>30.0</v>
      </c>
      <c r="E29" s="24">
        <f>VLOOKUP(B29,'📦 Materiales'!$C$3:$E$1402,3,FALSE)/D29</f>
        <v>1375.828333</v>
      </c>
      <c r="G29" s="27" t="s">
        <v>2063</v>
      </c>
      <c r="H29" s="34" t="s">
        <v>2184</v>
      </c>
      <c r="I29" s="23">
        <f>VLOOKUP(H29,'🔨 Mano de Obra'!$H$4:$I$475,2,FALSE)</f>
        <v>44378.05</v>
      </c>
    </row>
    <row r="30">
      <c r="A30" s="27" t="s">
        <v>1443</v>
      </c>
      <c r="B30" s="25" t="s">
        <v>1443</v>
      </c>
      <c r="C30" s="22" t="str">
        <f>VLOOKUP(B30,'📦 Materiales'!$C$3:$D$1402,2,FALSE)</f>
        <v>Unidad</v>
      </c>
      <c r="D30" s="25">
        <v>1.0</v>
      </c>
      <c r="E30" s="24">
        <f>VLOOKUP(B30,'📦 Materiales'!$C$3:$E$1402,3,FALSE)/D30</f>
        <v>24000</v>
      </c>
      <c r="G30" s="27" t="s">
        <v>2064</v>
      </c>
      <c r="H30" s="34" t="s">
        <v>2185</v>
      </c>
      <c r="I30" s="23">
        <f>VLOOKUP(H30,'🔨 Mano de Obra'!$H$4:$I$475,2,FALSE)</f>
        <v>52209.47</v>
      </c>
    </row>
    <row r="31">
      <c r="A31" s="27" t="s">
        <v>2128</v>
      </c>
      <c r="B31" s="25" t="s">
        <v>434</v>
      </c>
      <c r="C31" s="22" t="str">
        <f>VLOOKUP(B31,'📦 Materiales'!$C$3:$D$1402,2,FALSE)</f>
        <v>Unidad</v>
      </c>
      <c r="D31" s="22">
        <f>1.2*2.4</f>
        <v>2.88</v>
      </c>
      <c r="E31" s="24">
        <f>VLOOKUP(B31,'📦 Materiales'!$C$3:$E$1402,3,FALSE)/D31</f>
        <v>6007.388889</v>
      </c>
      <c r="G31" s="27" t="s">
        <v>2065</v>
      </c>
      <c r="H31" s="34" t="s">
        <v>2185</v>
      </c>
      <c r="I31" s="23">
        <f>VLOOKUP(H31,'🔨 Mano de Obra'!$H$4:$I$475,2,FALSE)</f>
        <v>52209.47</v>
      </c>
    </row>
    <row r="32">
      <c r="A32" s="27" t="s">
        <v>2131</v>
      </c>
      <c r="B32" s="25" t="s">
        <v>418</v>
      </c>
      <c r="C32" s="22" t="str">
        <f>VLOOKUP(B32,'📦 Materiales'!$C$3:$D$1402,2,FALSE)</f>
        <v>Unidad</v>
      </c>
      <c r="D32" s="25">
        <v>2.6</v>
      </c>
      <c r="E32" s="24">
        <f>VLOOKUP(B32,'📦 Materiales'!$C$3:$E$1402,3,FALSE)/D32</f>
        <v>2383.719231</v>
      </c>
      <c r="G32" s="27" t="s">
        <v>2066</v>
      </c>
      <c r="H32" s="34" t="s">
        <v>2186</v>
      </c>
      <c r="I32" s="23">
        <f>VLOOKUP(H32,'🔨 Mano de Obra'!$H$4:$I$475,2,FALSE)</f>
        <v>28149.49</v>
      </c>
    </row>
    <row r="33">
      <c r="A33" s="27" t="s">
        <v>2132</v>
      </c>
      <c r="B33" s="25" t="s">
        <v>438</v>
      </c>
      <c r="C33" s="22" t="str">
        <f>VLOOKUP(B33,'📦 Materiales'!$C$3:$D$1402,2,FALSE)</f>
        <v>Unidad</v>
      </c>
      <c r="D33" s="25">
        <v>2.6</v>
      </c>
      <c r="E33" s="24">
        <f>VLOOKUP(B33,'📦 Materiales'!$C$3:$E$1402,3,FALSE)/D33</f>
        <v>3653.369231</v>
      </c>
      <c r="G33" s="27" t="s">
        <v>2067</v>
      </c>
      <c r="H33" s="34" t="s">
        <v>2187</v>
      </c>
      <c r="I33" s="23">
        <f>VLOOKUP(H33,'🔨 Mano de Obra'!$H$4:$I$475,2,FALSE)</f>
        <v>29429.01</v>
      </c>
    </row>
    <row r="34">
      <c r="A34" s="27" t="s">
        <v>2133</v>
      </c>
      <c r="B34" s="25" t="s">
        <v>405</v>
      </c>
      <c r="C34" s="22" t="str">
        <f>VLOOKUP(B34,'📦 Materiales'!$C$3:$D$1402,2,FALSE)</f>
        <v>Unidad</v>
      </c>
      <c r="D34" s="25">
        <v>2.6</v>
      </c>
      <c r="E34" s="24">
        <f>VLOOKUP(B34,'📦 Materiales'!$C$3:$E$1402,3,FALSE)/D34</f>
        <v>1330.880769</v>
      </c>
      <c r="G34" s="27" t="s">
        <v>2068</v>
      </c>
      <c r="H34" s="34" t="s">
        <v>2187</v>
      </c>
      <c r="I34" s="23">
        <f>VLOOKUP(H34,'🔨 Mano de Obra'!$H$4:$I$475,2,FALSE)</f>
        <v>29429.01</v>
      </c>
    </row>
    <row r="35">
      <c r="A35" s="27" t="s">
        <v>2134</v>
      </c>
      <c r="B35" s="25" t="s">
        <v>645</v>
      </c>
      <c r="C35" s="22" t="str">
        <f>VLOOKUP(B35,'📦 Materiales'!$C$3:$D$1402,2,FALSE)</f>
        <v>Unidad</v>
      </c>
      <c r="D35" s="25">
        <v>1.0</v>
      </c>
      <c r="E35" s="24">
        <f>VLOOKUP(B35,'📦 Materiales'!$C$3:$E$1402,3,FALSE)/D35</f>
        <v>28.6</v>
      </c>
      <c r="G35" s="27" t="s">
        <v>2069</v>
      </c>
      <c r="H35" s="34" t="s">
        <v>2187</v>
      </c>
      <c r="I35" s="23">
        <f>VLOOKUP(H35,'🔨 Mano de Obra'!$H$4:$I$475,2,FALSE)</f>
        <v>29429.01</v>
      </c>
    </row>
    <row r="36">
      <c r="A36" s="27" t="s">
        <v>2135</v>
      </c>
      <c r="B36" s="25" t="s">
        <v>645</v>
      </c>
      <c r="C36" s="22" t="str">
        <f>VLOOKUP(B36,'📦 Materiales'!$C$3:$D$1402,2,FALSE)</f>
        <v>Unidad</v>
      </c>
      <c r="D36" s="25">
        <v>1.0</v>
      </c>
      <c r="E36" s="24">
        <f>VLOOKUP(B36,'📦 Materiales'!$C$3:$E$1402,3,FALSE)/D36</f>
        <v>28.6</v>
      </c>
      <c r="G36" s="27" t="s">
        <v>2070</v>
      </c>
      <c r="H36" s="34" t="s">
        <v>2188</v>
      </c>
      <c r="I36" s="23">
        <f>VLOOKUP(H36,'🔨 Mano de Obra'!$H$4:$I$475,2,FALSE)</f>
        <v>25078.64</v>
      </c>
    </row>
    <row r="37">
      <c r="A37" s="27" t="s">
        <v>1444</v>
      </c>
      <c r="B37" s="25" t="s">
        <v>1444</v>
      </c>
      <c r="C37" s="22" t="str">
        <f>VLOOKUP(B37,'📦 Materiales'!$C$3:$D$1402,2,FALSE)</f>
        <v>Unidad</v>
      </c>
      <c r="D37" s="25">
        <v>1.0</v>
      </c>
      <c r="E37" s="24">
        <f>VLOOKUP(B37,'📦 Materiales'!$C$3:$E$1402,3,FALSE)/D37</f>
        <v>232</v>
      </c>
      <c r="G37" s="27" t="s">
        <v>2071</v>
      </c>
      <c r="H37" s="34" t="s">
        <v>2188</v>
      </c>
      <c r="I37" s="23">
        <f>VLOOKUP(H37,'🔨 Mano de Obra'!$H$4:$I$475,2,FALSE)</f>
        <v>25078.64</v>
      </c>
    </row>
    <row r="38">
      <c r="A38" s="27" t="s">
        <v>2136</v>
      </c>
      <c r="B38" s="25" t="s">
        <v>406</v>
      </c>
      <c r="C38" s="22" t="str">
        <f>VLOOKUP(B38,'📦 Materiales'!$C$3:$D$1402,2,FALSE)</f>
        <v>Metro lineal</v>
      </c>
      <c r="D38" s="25">
        <v>150.0</v>
      </c>
      <c r="E38" s="24">
        <f>VLOOKUP(B38,'📦 Materiales'!$C$3:$E$1402,3,FALSE)/D38</f>
        <v>1.6962</v>
      </c>
      <c r="G38" s="27" t="s">
        <v>2072</v>
      </c>
      <c r="H38" s="34" t="s">
        <v>2189</v>
      </c>
      <c r="I38" s="23">
        <f>VLOOKUP(H38,'🔨 Mano de Obra'!$H$4:$I$475,2,FALSE)</f>
        <v>12800.17</v>
      </c>
    </row>
    <row r="39">
      <c r="A39" s="27" t="s">
        <v>2137</v>
      </c>
      <c r="B39" s="25" t="s">
        <v>413</v>
      </c>
      <c r="C39" s="22" t="str">
        <f>VLOOKUP(B39,'📦 Materiales'!$C$3:$D$1402,2,FALSE)</f>
        <v>Kilogramo</v>
      </c>
      <c r="D39" s="25">
        <v>1.0</v>
      </c>
      <c r="E39" s="24">
        <f>VLOOKUP(B39,'📦 Materiales'!$C$3:$E$1402,3,FALSE)/D39</f>
        <v>3321.79</v>
      </c>
      <c r="G39" s="27" t="s">
        <v>2073</v>
      </c>
      <c r="H39" s="34" t="s">
        <v>2189</v>
      </c>
      <c r="I39" s="23">
        <f>VLOOKUP(H39,'🔨 Mano de Obra'!$H$4:$I$475,2,FALSE)</f>
        <v>12800.17</v>
      </c>
    </row>
    <row r="40">
      <c r="A40" s="27" t="s">
        <v>2138</v>
      </c>
      <c r="B40" s="25" t="s">
        <v>1289</v>
      </c>
      <c r="C40" s="22" t="str">
        <f>VLOOKUP(B40,'📦 Materiales'!$C$3:$D$1402,2,FALSE)</f>
        <v>Unidad</v>
      </c>
      <c r="D40" s="25">
        <v>1.0</v>
      </c>
      <c r="E40" s="24">
        <f>VLOOKUP(B40,'📦 Materiales'!$C$3:$E$1402,3,FALSE)/D40</f>
        <v>1078.75</v>
      </c>
      <c r="G40" s="27" t="s">
        <v>2074</v>
      </c>
      <c r="H40" s="34" t="s">
        <v>2189</v>
      </c>
      <c r="I40" s="23">
        <f>VLOOKUP(H40,'🔨 Mano de Obra'!$H$4:$I$475,2,FALSE)</f>
        <v>12800.17</v>
      </c>
    </row>
    <row r="41">
      <c r="A41" s="27" t="s">
        <v>2139</v>
      </c>
      <c r="B41" s="25" t="s">
        <v>25</v>
      </c>
      <c r="C41" s="22" t="str">
        <f>VLOOKUP(B41,'📦 Materiales'!$C$3:$D$1402,2,FALSE)</f>
        <v>Metro cuadrado</v>
      </c>
      <c r="D41" s="25">
        <v>1.0</v>
      </c>
      <c r="E41" s="24">
        <f>VLOOKUP(B41,'📦 Materiales'!$C$3:$E$1402,3,FALSE)/D41</f>
        <v>25229.74</v>
      </c>
      <c r="G41" s="27" t="s">
        <v>2075</v>
      </c>
      <c r="H41" s="34" t="s">
        <v>2190</v>
      </c>
      <c r="I41" s="23">
        <f>VLOOKUP(H41,'🔨 Mano de Obra'!$H$4:$I$475,2,FALSE)</f>
        <v>13824.17</v>
      </c>
    </row>
    <row r="42">
      <c r="A42" s="27" t="s">
        <v>2140</v>
      </c>
      <c r="B42" s="25" t="s">
        <v>436</v>
      </c>
      <c r="C42" s="22" t="str">
        <f>VLOOKUP(B42,'📦 Materiales'!$C$3:$D$1402,2,FALSE)</f>
        <v>Unidad</v>
      </c>
      <c r="D42" s="22">
        <f t="shared" ref="D42:D43" si="1">1.2*2.4</f>
        <v>2.88</v>
      </c>
      <c r="E42" s="24">
        <f>VLOOKUP(B42,'📦 Materiales'!$C$3:$E$1402,3,FALSE)/D42</f>
        <v>13546.07639</v>
      </c>
      <c r="G42" s="27" t="s">
        <v>2076</v>
      </c>
      <c r="H42" s="34" t="s">
        <v>2190</v>
      </c>
      <c r="I42" s="23">
        <f>VLOOKUP(H42,'🔨 Mano de Obra'!$H$4:$I$475,2,FALSE)</f>
        <v>13824.17</v>
      </c>
    </row>
    <row r="43">
      <c r="A43" s="27" t="s">
        <v>2141</v>
      </c>
      <c r="B43" s="25" t="s">
        <v>433</v>
      </c>
      <c r="C43" s="22" t="str">
        <f>VLOOKUP(B43,'📦 Materiales'!$C$3:$D$1402,2,FALSE)</f>
        <v>Unidad</v>
      </c>
      <c r="D43" s="22">
        <f t="shared" si="1"/>
        <v>2.88</v>
      </c>
      <c r="E43" s="24">
        <f>VLOOKUP(B43,'📦 Materiales'!$C$3:$E$1402,3,FALSE)/D43</f>
        <v>8716.604167</v>
      </c>
      <c r="G43" s="27" t="s">
        <v>2077</v>
      </c>
      <c r="H43" s="34" t="s">
        <v>2191</v>
      </c>
      <c r="I43" s="23">
        <f>VLOOKUP(H43,'🔨 Mano de Obra'!$H$4:$I$475,2,FALSE)</f>
        <v>20480.23</v>
      </c>
    </row>
    <row r="44">
      <c r="A44" s="27" t="s">
        <v>1445</v>
      </c>
      <c r="B44" s="25" t="s">
        <v>1445</v>
      </c>
      <c r="C44" s="22" t="str">
        <f>VLOOKUP(B44,'📦 Materiales'!$C$3:$D$1402,2,FALSE)</f>
        <v>Metro cuadrado</v>
      </c>
      <c r="D44" s="25">
        <v>1.0</v>
      </c>
      <c r="E44" s="24">
        <f>VLOOKUP(B44,'📦 Materiales'!$C$3:$E$1402,3,FALSE)/D44</f>
        <v>5666.666667</v>
      </c>
      <c r="G44" s="27" t="s">
        <v>2078</v>
      </c>
      <c r="H44" s="34" t="s">
        <v>2191</v>
      </c>
      <c r="I44" s="23">
        <f>VLOOKUP(H44,'🔨 Mano de Obra'!$H$4:$I$475,2,FALSE)</f>
        <v>20480.23</v>
      </c>
    </row>
    <row r="45">
      <c r="A45" s="27" t="s">
        <v>2142</v>
      </c>
      <c r="B45" s="25" t="s">
        <v>648</v>
      </c>
      <c r="C45" s="22" t="str">
        <f>VLOOKUP(B45,'📦 Materiales'!$C$3:$D$1402,2,FALSE)</f>
        <v>Unidad</v>
      </c>
      <c r="D45" s="25">
        <v>1.0</v>
      </c>
      <c r="E45" s="24">
        <f>VLOOKUP(B45,'📦 Materiales'!$C$3:$E$1402,3,FALSE)/D45</f>
        <v>63.64</v>
      </c>
      <c r="G45" s="27" t="s">
        <v>2079</v>
      </c>
      <c r="H45" s="34" t="s">
        <v>2191</v>
      </c>
      <c r="I45" s="23">
        <f>VLOOKUP(H45,'🔨 Mano de Obra'!$H$4:$I$475,2,FALSE)</f>
        <v>20480.23</v>
      </c>
    </row>
    <row r="46">
      <c r="A46" s="27" t="s">
        <v>2144</v>
      </c>
      <c r="B46" s="25" t="s">
        <v>417</v>
      </c>
      <c r="C46" s="22" t="str">
        <f>VLOOKUP(B46,'📦 Materiales'!$C$3:$D$1402,2,FALSE)</f>
        <v>Unidad</v>
      </c>
      <c r="D46" s="25">
        <v>2.6</v>
      </c>
      <c r="E46" s="24">
        <f>VLOOKUP(B46,'📦 Materiales'!$C$3:$E$1402,3,FALSE)/D46</f>
        <v>2007.338462</v>
      </c>
      <c r="G46" s="27" t="s">
        <v>2080</v>
      </c>
      <c r="H46" s="34" t="s">
        <v>2191</v>
      </c>
      <c r="I46" s="23">
        <f>VLOOKUP(H46,'🔨 Mano de Obra'!$H$4:$I$475,2,FALSE)</f>
        <v>20480.23</v>
      </c>
    </row>
    <row r="47">
      <c r="A47" s="27" t="s">
        <v>2145</v>
      </c>
      <c r="B47" s="25" t="s">
        <v>437</v>
      </c>
      <c r="C47" s="22" t="str">
        <f>VLOOKUP(B47,'📦 Materiales'!$C$3:$D$1402,2,FALSE)</f>
        <v>Unidad</v>
      </c>
      <c r="D47" s="25">
        <v>2.6</v>
      </c>
      <c r="E47" s="24">
        <f>VLOOKUP(B47,'📦 Materiales'!$C$3:$E$1402,3,FALSE)/D47</f>
        <v>1872.353846</v>
      </c>
      <c r="G47" s="27" t="s">
        <v>2081</v>
      </c>
      <c r="H47" s="34" t="s">
        <v>2191</v>
      </c>
      <c r="I47" s="23">
        <f>VLOOKUP(H47,'🔨 Mano de Obra'!$H$4:$I$475,2,FALSE)</f>
        <v>20480.23</v>
      </c>
    </row>
    <row r="48">
      <c r="A48" s="27" t="s">
        <v>2146</v>
      </c>
      <c r="B48" s="25" t="s">
        <v>403</v>
      </c>
      <c r="C48" s="22" t="str">
        <f>VLOOKUP(B48,'📦 Materiales'!$C$3:$D$1402,2,FALSE)</f>
        <v>Unidad</v>
      </c>
      <c r="D48" s="25">
        <v>2.6</v>
      </c>
      <c r="E48" s="24">
        <f>VLOOKUP(B48,'📦 Materiales'!$C$3:$E$1402,3,FALSE)/D48</f>
        <v>1760.411538</v>
      </c>
      <c r="G48" s="27" t="s">
        <v>2082</v>
      </c>
      <c r="H48" s="34" t="s">
        <v>2191</v>
      </c>
      <c r="I48" s="23">
        <f>VLOOKUP(H48,'🔨 Mano de Obra'!$H$4:$I$475,2,FALSE)</f>
        <v>20480.23</v>
      </c>
    </row>
    <row r="49">
      <c r="A49" s="27" t="s">
        <v>2147</v>
      </c>
      <c r="B49" s="25" t="s">
        <v>1272</v>
      </c>
      <c r="C49" s="22" t="str">
        <f>VLOOKUP(B49,'📦 Materiales'!$C$3:$D$1402,2,FALSE)</f>
        <v>Unidad</v>
      </c>
      <c r="D49" s="25">
        <v>20.0</v>
      </c>
      <c r="E49" s="24">
        <f>VLOOKUP(B49,'📦 Materiales'!$C$3:$E$1402,3,FALSE)/D49</f>
        <v>10447.2465</v>
      </c>
      <c r="G49" s="25" t="s">
        <v>2083</v>
      </c>
      <c r="H49" s="34" t="s">
        <v>2192</v>
      </c>
      <c r="I49" s="23">
        <f>VLOOKUP(H49,'🔨 Mano de Obra'!$H$4:$I$475,2,FALSE)</f>
        <v>16153.96</v>
      </c>
    </row>
    <row r="50">
      <c r="A50" s="27" t="s">
        <v>2151</v>
      </c>
      <c r="B50" s="25" t="s">
        <v>1260</v>
      </c>
      <c r="C50" s="22" t="str">
        <f>VLOOKUP(B50,'📦 Materiales'!$C$3:$D$1402,2,FALSE)</f>
        <v>Unidad</v>
      </c>
      <c r="D50" s="25">
        <v>1.0</v>
      </c>
      <c r="E50" s="24">
        <f>VLOOKUP(B50,'📦 Materiales'!$C$3:$E$1402,3,FALSE)/D50</f>
        <v>15282.29</v>
      </c>
      <c r="G50" s="27" t="s">
        <v>2084</v>
      </c>
      <c r="H50" s="34" t="s">
        <v>2193</v>
      </c>
      <c r="I50" s="23">
        <f>VLOOKUP(H50,'🔨 Mano de Obra'!$H$4:$I$475,2,FALSE)</f>
        <v>21124.42</v>
      </c>
    </row>
    <row r="51">
      <c r="A51" s="27" t="s">
        <v>2152</v>
      </c>
      <c r="B51" s="25" t="s">
        <v>1291</v>
      </c>
      <c r="C51" s="22" t="str">
        <f>VLOOKUP(B51,'📦 Materiales'!$C$3:$D$1402,2,FALSE)</f>
        <v>Unidad</v>
      </c>
      <c r="D51" s="25">
        <v>1.0</v>
      </c>
      <c r="E51" s="24">
        <f>VLOOKUP(B51,'📦 Materiales'!$C$3:$E$1402,3,FALSE)/D51</f>
        <v>14383.33</v>
      </c>
    </row>
    <row r="52">
      <c r="A52" s="27" t="s">
        <v>1446</v>
      </c>
      <c r="B52" s="25" t="s">
        <v>1446</v>
      </c>
      <c r="C52" s="22" t="str">
        <f>VLOOKUP(B52,'📦 Materiales'!$C$3:$D$1402,2,FALSE)</f>
        <v>Unidad</v>
      </c>
      <c r="D52" s="25">
        <v>1.0</v>
      </c>
      <c r="E52" s="24">
        <f>VLOOKUP(B52,'📦 Materiales'!$C$3:$E$1402,3,FALSE)/D52</f>
        <v>5000</v>
      </c>
    </row>
    <row r="53">
      <c r="A53" s="27" t="s">
        <v>2154</v>
      </c>
      <c r="B53" s="25" t="s">
        <v>1277</v>
      </c>
      <c r="C53" s="22" t="str">
        <f>VLOOKUP(B53,'📦 Materiales'!$C$3:$D$1402,2,FALSE)</f>
        <v>Unidad</v>
      </c>
      <c r="D53" s="25">
        <v>4.0</v>
      </c>
      <c r="E53" s="24">
        <f>VLOOKUP(B53,'📦 Materiales'!$C$3:$E$1402,3,FALSE)/D53</f>
        <v>15126.945</v>
      </c>
    </row>
    <row r="54">
      <c r="A54" s="27" t="s">
        <v>2155</v>
      </c>
      <c r="B54" s="25" t="s">
        <v>1277</v>
      </c>
      <c r="C54" s="22" t="str">
        <f>VLOOKUP(B54,'📦 Materiales'!$C$3:$D$1402,2,FALSE)</f>
        <v>Unidad</v>
      </c>
      <c r="D54" s="25">
        <v>4.0</v>
      </c>
      <c r="E54" s="24">
        <f>VLOOKUP(B54,'📦 Materiales'!$C$3:$E$1402,3,FALSE)/D54</f>
        <v>15126.945</v>
      </c>
    </row>
    <row r="55">
      <c r="A55" s="27" t="s">
        <v>2157</v>
      </c>
      <c r="B55" s="25" t="s">
        <v>1286</v>
      </c>
      <c r="C55" s="22" t="str">
        <f>VLOOKUP(B55,'📦 Materiales'!$C$3:$D$1402,2,FALSE)</f>
        <v>Litro</v>
      </c>
      <c r="D55" s="25">
        <v>1.0</v>
      </c>
      <c r="E55" s="24">
        <f>VLOOKUP(B55,'📦 Materiales'!$C$3:$E$1402,3,FALSE)/D55</f>
        <v>17080.23</v>
      </c>
    </row>
    <row r="56">
      <c r="A56" s="27" t="s">
        <v>2158</v>
      </c>
      <c r="B56" s="25" t="s">
        <v>1286</v>
      </c>
      <c r="C56" s="22" t="str">
        <f>VLOOKUP(B56,'📦 Materiales'!$C$3:$D$1402,2,FALSE)</f>
        <v>Litro</v>
      </c>
      <c r="D56" s="25">
        <v>1.0</v>
      </c>
      <c r="E56" s="24">
        <f>VLOOKUP(B56,'📦 Materiales'!$C$3:$E$1402,3,FALSE)/D56</f>
        <v>17080.23</v>
      </c>
    </row>
    <row r="57">
      <c r="A57" s="27" t="s">
        <v>2159</v>
      </c>
      <c r="B57" s="25" t="s">
        <v>1273</v>
      </c>
      <c r="C57" s="22" t="str">
        <f>VLOOKUP(B57,'📦 Materiales'!$C$3:$D$1402,2,FALSE)</f>
        <v>Litro</v>
      </c>
      <c r="D57" s="25">
        <v>1.0</v>
      </c>
      <c r="E57" s="24">
        <f>VLOOKUP(B57,'📦 Materiales'!$C$3:$E$1402,3,FALSE)/D57</f>
        <v>7551.26</v>
      </c>
    </row>
    <row r="58">
      <c r="A58" s="27" t="s">
        <v>2161</v>
      </c>
      <c r="B58" s="25" t="s">
        <v>1267</v>
      </c>
      <c r="C58" s="22" t="str">
        <f>VLOOKUP(B58,'📦 Materiales'!$C$3:$D$1402,2,FALSE)</f>
        <v>Unidad</v>
      </c>
      <c r="D58" s="25">
        <v>4.0</v>
      </c>
      <c r="E58" s="24">
        <f>VLOOKUP(B58,'📦 Materiales'!$C$3:$E$1402,3,FALSE)/D58</f>
        <v>18428.67</v>
      </c>
    </row>
    <row r="59">
      <c r="A59" s="27" t="s">
        <v>1447</v>
      </c>
      <c r="B59" s="25" t="s">
        <v>1447</v>
      </c>
      <c r="C59" s="22" t="str">
        <f>VLOOKUP(B59,'📦 Materiales'!$C$3:$D$1402,2,FALSE)</f>
        <v>Unidad</v>
      </c>
      <c r="D59" s="25">
        <v>1.0</v>
      </c>
      <c r="E59" s="24">
        <f>VLOOKUP(B59,'📦 Materiales'!$C$3:$E$1402,3,FALSE)/D59</f>
        <v>1200</v>
      </c>
    </row>
    <row r="60">
      <c r="A60" s="27" t="s">
        <v>2162</v>
      </c>
      <c r="B60" s="25" t="s">
        <v>1294</v>
      </c>
      <c r="C60" s="22" t="str">
        <f>VLOOKUP(B60,'📦 Materiales'!$C$3:$D$1402,2,FALSE)</f>
        <v>Unidad</v>
      </c>
      <c r="D60" s="25">
        <v>1.0</v>
      </c>
      <c r="E60" s="24">
        <f>VLOOKUP(B60,'📦 Materiales'!$C$3:$E$1402,3,FALSE)/D60</f>
        <v>8630.01</v>
      </c>
    </row>
    <row r="61">
      <c r="A61" s="27" t="s">
        <v>2163</v>
      </c>
      <c r="B61" s="25" t="s">
        <v>1269</v>
      </c>
      <c r="C61" s="22" t="str">
        <f>VLOOKUP(B61,'📦 Materiales'!$C$3:$D$1402,2,FALSE)</f>
        <v>Unidad</v>
      </c>
      <c r="D61" s="25">
        <v>1.0</v>
      </c>
      <c r="E61" s="24">
        <f>VLOOKUP(B61,'📦 Materiales'!$C$3:$E$1402,3,FALSE)/D61</f>
        <v>25170.86</v>
      </c>
    </row>
    <row r="62">
      <c r="A62" s="27" t="s">
        <v>2165</v>
      </c>
      <c r="B62" s="25" t="s">
        <v>1256</v>
      </c>
      <c r="C62" s="22" t="str">
        <f>VLOOKUP(B62,'📦 Materiales'!$C$3:$D$1402,2,FALSE)</f>
        <v>Unidad</v>
      </c>
      <c r="D62" s="25">
        <v>1.0</v>
      </c>
      <c r="E62" s="24">
        <f>VLOOKUP(B62,'📦 Materiales'!$C$3:$E$1402,3,FALSE)/D62</f>
        <v>18878.12</v>
      </c>
    </row>
    <row r="63">
      <c r="A63" s="27" t="s">
        <v>2167</v>
      </c>
      <c r="B63" s="25" t="s">
        <v>1368</v>
      </c>
      <c r="C63" s="22" t="str">
        <f>VLOOKUP(B63,'📦 Materiales'!$C$3:$D$1402,2,FALSE)</f>
        <v>Unidad</v>
      </c>
      <c r="D63" s="25">
        <v>25.0</v>
      </c>
      <c r="E63" s="24">
        <f>VLOOKUP(B63,'📦 Materiales'!$C$3:$E$1402,3,FALSE)/D63</f>
        <v>6887.4696</v>
      </c>
    </row>
    <row r="64">
      <c r="A64" s="27" t="s">
        <v>2168</v>
      </c>
      <c r="B64" s="25" t="s">
        <v>1370</v>
      </c>
      <c r="C64" s="22" t="str">
        <f>VLOOKUP(B64,'📦 Materiales'!$C$3:$D$1402,2,FALSE)</f>
        <v>Unidad</v>
      </c>
      <c r="D64" s="25">
        <v>20.0</v>
      </c>
      <c r="E64" s="24">
        <f>VLOOKUP(B64,'📦 Materiales'!$C$3:$E$1402,3,FALSE)/D64</f>
        <v>7379.4325</v>
      </c>
    </row>
  </sheetData>
  <dataValidations>
    <dataValidation type="list" allowBlank="1" showErrorMessage="1" sqref="B3:B22 B24:B64">
      <formula1>'📦 Materiales'!$C$4:$C$1411</formula1>
    </dataValidation>
    <dataValidation type="list" allowBlank="1" showErrorMessage="1" sqref="H3:H50">
      <formula1>'🔨 Mano de Obra'!$H$4:$H$498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